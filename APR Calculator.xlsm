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5" windowWidth="28620" windowHeight="12660"/>
  </bookViews>
  <sheets>
    <sheet name="APR" sheetId="1" r:id="rId1"/>
  </sheets>
  <calcPr calcId="125725"/>
  <smartTagPr show="none"/>
</workbook>
</file>

<file path=xl/calcChain.xml><?xml version="1.0" encoding="utf-8"?>
<calcChain xmlns="http://schemas.openxmlformats.org/spreadsheetml/2006/main">
  <c r="N3" i="1"/>
  <c r="N1"/>
  <c r="N2" s="1"/>
  <c r="N4" s="1"/>
  <c r="O4" l="1"/>
  <c r="N7" s="1"/>
  <c r="N6"/>
  <c r="O6" s="1"/>
  <c r="N8" l="1"/>
  <c r="D12" s="1"/>
  <c r="D11"/>
</calcChain>
</file>

<file path=xl/sharedStrings.xml><?xml version="1.0" encoding="utf-8"?>
<sst xmlns="http://schemas.openxmlformats.org/spreadsheetml/2006/main" count="21" uniqueCount="21">
  <si>
    <t>Loan Amount:</t>
  </si>
  <si>
    <t>PMI Monthly Amount:</t>
  </si>
  <si>
    <t>AdjLoanAmt</t>
  </si>
  <si>
    <t>PointAmt</t>
  </si>
  <si>
    <t>MonthlyPmt</t>
  </si>
  <si>
    <t>AdjMonthlyPmt</t>
  </si>
  <si>
    <t>APR</t>
  </si>
  <si>
    <t>APR Fees:
(Lump Sum)</t>
  </si>
  <si>
    <t>AdjMonthlyPmt+PMI</t>
  </si>
  <si>
    <t>AdjAPR</t>
  </si>
  <si>
    <t>APR w/o MI</t>
  </si>
  <si>
    <t>APR w/ MI</t>
  </si>
  <si>
    <r>
      <rPr>
        <b/>
        <sz val="11"/>
        <color theme="1"/>
        <rFont val="Calibri"/>
        <family val="2"/>
        <scheme val="minor"/>
      </rPr>
      <t>Note</t>
    </r>
    <r>
      <rPr>
        <sz val="11"/>
        <color theme="1"/>
        <rFont val="Calibri"/>
        <family val="2"/>
        <scheme val="minor"/>
      </rPr>
      <t>: Calculated APR with Mortgage Insurance will assume
that the PMI payment will be paid throughout the life of the
loan.</t>
    </r>
  </si>
  <si>
    <t>APR CALCULATOR</t>
  </si>
  <si>
    <t>120 months</t>
  </si>
  <si>
    <t>240 months</t>
  </si>
  <si>
    <t>360 months</t>
  </si>
  <si>
    <t>180 months</t>
  </si>
  <si>
    <t>New Discount Points: (%)</t>
  </si>
  <si>
    <t>Interest Rate: 
(%)</t>
  </si>
  <si>
    <t>Loan Term:
(Months)</t>
  </si>
</sst>
</file>

<file path=xl/styles.xml><?xml version="1.0" encoding="utf-8"?>
<styleSheet xmlns="http://schemas.openxmlformats.org/spreadsheetml/2006/main">
  <numFmts count="2">
    <numFmt numFmtId="164" formatCode="&quot;$&quot;#,##0.00"/>
    <numFmt numFmtId="165" formatCode="0.000%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164" fontId="0" fillId="0" borderId="0" xfId="0" applyNumberFormat="1"/>
    <xf numFmtId="165" fontId="0" fillId="0" borderId="0" xfId="0" applyNumberFormat="1"/>
    <xf numFmtId="0" fontId="2" fillId="2" borderId="2" xfId="0" applyFont="1" applyFill="1" applyBorder="1"/>
    <xf numFmtId="0" fontId="2" fillId="2" borderId="4" xfId="0" applyFont="1" applyFill="1" applyBorder="1"/>
    <xf numFmtId="164" fontId="3" fillId="0" borderId="1" xfId="0" applyNumberFormat="1" applyFont="1" applyBorder="1" applyProtection="1">
      <protection locked="0"/>
    </xf>
    <xf numFmtId="0" fontId="4" fillId="0" borderId="0" xfId="0" applyFont="1"/>
    <xf numFmtId="165" fontId="5" fillId="3" borderId="3" xfId="0" applyNumberFormat="1" applyFont="1" applyFill="1" applyBorder="1"/>
    <xf numFmtId="165" fontId="6" fillId="3" borderId="5" xfId="0" applyNumberFormat="1" applyFont="1" applyFill="1" applyBorder="1"/>
    <xf numFmtId="165" fontId="3" fillId="0" borderId="1" xfId="0" applyNumberFormat="1" applyFont="1" applyBorder="1" applyProtection="1">
      <protection locked="0"/>
    </xf>
    <xf numFmtId="0" fontId="3" fillId="0" borderId="1" xfId="0" applyFont="1" applyBorder="1" applyAlignment="1" applyProtection="1">
      <alignment horizontal="right"/>
      <protection locked="0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1:AB14"/>
  <sheetViews>
    <sheetView showGridLines="0" showRowColHeaders="0" tabSelected="1" workbookViewId="0">
      <selection activeCell="D3" sqref="D3"/>
    </sheetView>
  </sheetViews>
  <sheetFormatPr defaultRowHeight="15"/>
  <cols>
    <col min="1" max="2" width="4.42578125" customWidth="1"/>
    <col min="3" max="3" width="15" bestFit="1" customWidth="1"/>
    <col min="4" max="4" width="15.5703125" customWidth="1"/>
    <col min="9" max="12" width="9.140625" customWidth="1"/>
    <col min="13" max="13" width="19.7109375" hidden="1" customWidth="1"/>
    <col min="14" max="14" width="15.28515625" hidden="1" customWidth="1"/>
    <col min="15" max="15" width="9.85546875" hidden="1" customWidth="1"/>
    <col min="16" max="25" width="9.140625" hidden="1" customWidth="1"/>
    <col min="26" max="26" width="11" hidden="1" customWidth="1"/>
    <col min="27" max="27" width="9.140625" hidden="1" customWidth="1"/>
    <col min="28" max="28" width="0" hidden="1" customWidth="1"/>
  </cols>
  <sheetData>
    <row r="1" spans="3:28" ht="21">
      <c r="C1" s="8" t="s">
        <v>13</v>
      </c>
      <c r="M1" t="s">
        <v>3</v>
      </c>
      <c r="N1" s="3">
        <f>(D5)*D3</f>
        <v>0</v>
      </c>
      <c r="Z1">
        <v>0</v>
      </c>
      <c r="AA1" t="s">
        <v>14</v>
      </c>
      <c r="AB1">
        <v>120</v>
      </c>
    </row>
    <row r="2" spans="3:28">
      <c r="M2" t="s">
        <v>2</v>
      </c>
      <c r="N2" s="3">
        <f>D3+N1+D4</f>
        <v>0</v>
      </c>
      <c r="Z2">
        <v>999999999.99000001</v>
      </c>
      <c r="AA2" t="s">
        <v>17</v>
      </c>
      <c r="AB2">
        <v>180</v>
      </c>
    </row>
    <row r="3" spans="3:28" ht="15.75">
      <c r="C3" s="1" t="s">
        <v>0</v>
      </c>
      <c r="D3" s="7"/>
      <c r="M3" t="s">
        <v>4</v>
      </c>
      <c r="N3" s="3" t="e">
        <f>($D$3*((($D$7)/12)*(1+(($D$7))/12)^VLOOKUP($D$8,AA1:AB4,2,FALSE)))/(((1+(($D$7)/12))^VLOOKUP($D$8,AA1:AB4,2,FALSE))-1)</f>
        <v>#N/A</v>
      </c>
      <c r="AA3" t="s">
        <v>15</v>
      </c>
      <c r="AB3">
        <v>240</v>
      </c>
    </row>
    <row r="4" spans="3:28" ht="31.5">
      <c r="C4" s="2" t="s">
        <v>7</v>
      </c>
      <c r="D4" s="7"/>
      <c r="M4" t="s">
        <v>5</v>
      </c>
      <c r="N4" s="3" t="e">
        <f>($N$2*((($D$7)/12)*(1+(($D$7))/12)^VLOOKUP($D$8,AA1:AB4,2,FALSE)))/(((1+(($D$7)/12))^VLOOKUP($D$8,AA1:AB4,2,FALSE))-1)</f>
        <v>#N/A</v>
      </c>
      <c r="O4" s="3" t="e">
        <f>N4*-1</f>
        <v>#N/A</v>
      </c>
      <c r="AA4" t="s">
        <v>16</v>
      </c>
      <c r="AB4">
        <v>360</v>
      </c>
    </row>
    <row r="5" spans="3:28" ht="31.5">
      <c r="C5" s="2" t="s">
        <v>18</v>
      </c>
      <c r="D5" s="11"/>
      <c r="N5" s="3"/>
    </row>
    <row r="6" spans="3:28" ht="31.5">
      <c r="C6" s="2" t="s">
        <v>1</v>
      </c>
      <c r="D6" s="7"/>
      <c r="M6" t="s">
        <v>8</v>
      </c>
      <c r="N6" s="3" t="e">
        <f>IF(D6&lt;&gt;"",N4+D6,N4)</f>
        <v>#N/A</v>
      </c>
      <c r="O6" s="3" t="e">
        <f>N6*-1</f>
        <v>#N/A</v>
      </c>
    </row>
    <row r="7" spans="3:28" ht="31.5">
      <c r="C7" s="2" t="s">
        <v>19</v>
      </c>
      <c r="D7" s="11"/>
      <c r="M7" t="s">
        <v>6</v>
      </c>
      <c r="N7" s="4" t="e">
        <f>RATE(VLOOKUP($D$8,AA1:AB4,2,FALSE),$O$4,$D$3, $O$7)*12</f>
        <v>#N/A</v>
      </c>
      <c r="O7">
        <v>0</v>
      </c>
    </row>
    <row r="8" spans="3:28" ht="31.5">
      <c r="C8" s="2" t="s">
        <v>20</v>
      </c>
      <c r="D8" s="12"/>
      <c r="M8" t="s">
        <v>9</v>
      </c>
      <c r="N8" s="4" t="e">
        <f>RATE(VLOOKUP($D$8,AA1:AB4,2,FALSE),$O$6,$D$3, $O$8)*12</f>
        <v>#N/A</v>
      </c>
      <c r="O8">
        <v>0</v>
      </c>
    </row>
    <row r="10" spans="3:28" ht="15.75" thickBot="1"/>
    <row r="11" spans="3:28" ht="26.25">
      <c r="C11" s="5" t="s">
        <v>10</v>
      </c>
      <c r="D11" s="9" t="str">
        <f>IFERROR(N7, "")</f>
        <v/>
      </c>
    </row>
    <row r="12" spans="3:28" ht="27" thickBot="1">
      <c r="C12" s="6" t="s">
        <v>11</v>
      </c>
      <c r="D12" s="10" t="str">
        <f>IFERROR(N8, "")</f>
        <v/>
      </c>
    </row>
    <row r="14" spans="3:28" ht="48" customHeight="1">
      <c r="C14" s="13" t="s">
        <v>12</v>
      </c>
      <c r="D14" s="13"/>
      <c r="E14" s="13"/>
      <c r="F14" s="13"/>
      <c r="G14" s="13"/>
    </row>
  </sheetData>
  <sheetProtection password="C5F1" sheet="1" objects="1" scenarios="1" selectLockedCells="1"/>
  <mergeCells count="1">
    <mergeCell ref="C14:G14"/>
  </mergeCells>
  <dataValidations count="6">
    <dataValidation type="whole" allowBlank="1" showInputMessage="1" showErrorMessage="1" errorTitle="Invalid value entered" error="Please enter a valid loan amount!" sqref="D3">
      <formula1>Z1</formula1>
      <formula2>Z2</formula2>
    </dataValidation>
    <dataValidation type="decimal" allowBlank="1" showInputMessage="1" showErrorMessage="1" errorTitle="Invalid value entered" error="Please enter a valid interest rate!" sqref="D7">
      <formula1>Z1</formula1>
      <formula2>Z2</formula2>
    </dataValidation>
    <dataValidation type="decimal" allowBlank="1" showInputMessage="1" showErrorMessage="1" errorTitle="Invalid value entered" error="Please enter a valid PMI monthly amount!" sqref="D6">
      <formula1>Z1</formula1>
      <formula2>Z2</formula2>
    </dataValidation>
    <dataValidation type="decimal" allowBlank="1" showInputMessage="1" showErrorMessage="1" sqref="D5">
      <formula1>Z1</formula1>
      <formula2>Z2</formula2>
    </dataValidation>
    <dataValidation type="list" allowBlank="1" showInputMessage="1" showErrorMessage="1" sqref="D8">
      <formula1>$AA$1:$AA$4</formula1>
    </dataValidation>
    <dataValidation type="decimal" allowBlank="1" showInputMessage="1" showErrorMessage="1" errorTitle="Invalid value entered" error="Please enter a valid fee sum!" sqref="D4">
      <formula1>Z1</formula1>
      <formula2>Z2</formula2>
    </dataValidation>
  </dataValidations>
  <pageMargins left="0.7" right="0.7" top="0.75" bottom="0.75" header="0.3" footer="0.3"/>
  <pageSetup orientation="portrait" horizontalDpi="300" verticalDpi="300" r:id="rId1"/>
  <legacyDrawing r:id="rId2"/>
  <controls>
    <control shapeId="1029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APR</vt:lpstr>
    </vt:vector>
  </TitlesOfParts>
  <Company>USAA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German Candelaria</dc:creator>
  <cp:lastModifiedBy>German Candelaria</cp:lastModifiedBy>
  <dcterms:created xsi:type="dcterms:W3CDTF">2016-11-03T14:27:13Z</dcterms:created>
  <dcterms:modified xsi:type="dcterms:W3CDTF">2016-11-08T20:59:25Z</dcterms:modified>
</cp:coreProperties>
</file>