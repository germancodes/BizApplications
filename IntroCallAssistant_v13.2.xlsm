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ctrlProps/ctrlProp3.xml" ContentType="application/vnd.ms-excel.controlproperties+xml"/>
  <Override PartName="/xl/ctrlProps/ctrlProp4.xml" ContentType="application/vnd.ms-excel.controlproperties+xml"/>
  <Override PartName="/customXml/itemProps4.xml" ContentType="application/vnd.openxmlformats-officedocument.customXmlProperties+xml"/>
  <Override PartName="/customXml/itemProps5.xml" ContentType="application/vnd.openxmlformats-officedocument.customXmlProperties+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75" yWindow="465" windowWidth="25440" windowHeight="15990" tabRatio="500" activeTab="1"/>
  </bookViews>
  <sheets>
    <sheet name="Instructions" sheetId="8" r:id="rId1"/>
    <sheet name="Intro Call Assistant" sheetId="1" r:id="rId2"/>
    <sheet name="Error" sheetId="9" state="veryHidden" r:id="rId3"/>
    <sheet name="Cadence Export" sheetId="7" state="veryHidden" r:id="rId4"/>
    <sheet name="Intro Call Best Practices" sheetId="4" state="hidden" r:id="rId5"/>
    <sheet name="Member Persona Traits" sheetId="3" state="hidden" r:id="rId6"/>
    <sheet name="Questions" sheetId="6" state="hidden" r:id="rId7"/>
  </sheets>
  <definedNames>
    <definedName name="_xlnm._FilterDatabase" localSheetId="1" hidden="1">'Intro Call Assistant'!$A$9:$Q$100</definedName>
    <definedName name="_xlnm.Criteria" localSheetId="1">'Intro Call Assistant'!$A$6:$Q$8</definedName>
    <definedName name="GeneratedComments">'Cadence Export'!#REF!</definedName>
    <definedName name="LoanPurposeX">#REF!</definedName>
    <definedName name="LoanTypeX">#REF!</definedName>
    <definedName name="Notes">'Intro Call Assistant'!$F$2:$L$3</definedName>
    <definedName name="PDFRng">#REF!</definedName>
    <definedName name="_xlnm.Print_Area" localSheetId="6">Questions!#REF!</definedName>
    <definedName name="_xlnm.Print_Titles" localSheetId="1">'Intro Call Assistant'!$1:$9</definedName>
    <definedName name="ReviewTypeX">#REF!</definedName>
    <definedName name="YesNo">'Intro Call Assistant'!$AB$4:$AB$6</definedName>
  </definedNames>
  <calcPr calcId="125725"/>
  <smartTagPr show="none"/>
</workbook>
</file>

<file path=xl/calcChain.xml><?xml version="1.0" encoding="utf-8"?>
<calcChain xmlns="http://schemas.openxmlformats.org/spreadsheetml/2006/main">
  <c r="Z11" i="1"/>
  <c r="Z12"/>
  <c r="Z13"/>
  <c r="Z14"/>
  <c r="Z15"/>
  <c r="Z16"/>
  <c r="Z17"/>
  <c r="Z18"/>
  <c r="Z19"/>
  <c r="Z20"/>
  <c r="Z21"/>
  <c r="Z22"/>
  <c r="Z23"/>
  <c r="Z24"/>
  <c r="Z25"/>
  <c r="Z26"/>
  <c r="Z27"/>
  <c r="Z28"/>
  <c r="Z29"/>
  <c r="Z30"/>
  <c r="Z31"/>
  <c r="Z32"/>
  <c r="Z33"/>
  <c r="Z34"/>
  <c r="Z35"/>
  <c r="Z36"/>
  <c r="Z37"/>
  <c r="Z38"/>
  <c r="Z39"/>
  <c r="Z40"/>
  <c r="Z41"/>
  <c r="Z42"/>
  <c r="Z43"/>
  <c r="Z44"/>
  <c r="Z45"/>
  <c r="Z46"/>
  <c r="Z47"/>
  <c r="Z48"/>
  <c r="Z49"/>
  <c r="Z50"/>
  <c r="Z51"/>
  <c r="Z52"/>
  <c r="Z53"/>
  <c r="Z54"/>
  <c r="Z55"/>
  <c r="Z56"/>
  <c r="Z57"/>
  <c r="Z58"/>
  <c r="Z59"/>
  <c r="Z60"/>
  <c r="Z61"/>
  <c r="Z62"/>
  <c r="Z63"/>
  <c r="Z64"/>
  <c r="Z65"/>
  <c r="Z66"/>
  <c r="Z67"/>
  <c r="Z68"/>
  <c r="Z69"/>
  <c r="Z70"/>
  <c r="Z71"/>
  <c r="Z72"/>
  <c r="Z73"/>
  <c r="Z74"/>
  <c r="Z75"/>
  <c r="Z76"/>
  <c r="Z77"/>
  <c r="Z78"/>
  <c r="Z79"/>
  <c r="Z80"/>
  <c r="Z81"/>
  <c r="Z82"/>
  <c r="Z83"/>
  <c r="Z84"/>
  <c r="Y11"/>
  <c r="Y12"/>
  <c r="Y13"/>
  <c r="Y14"/>
  <c r="Y15"/>
  <c r="Y16"/>
  <c r="Y17"/>
  <c r="Y18"/>
  <c r="Y19"/>
  <c r="Y20"/>
  <c r="Y21"/>
  <c r="Y22"/>
  <c r="Y23"/>
  <c r="Y24"/>
  <c r="Y25"/>
  <c r="Y26"/>
  <c r="Y27"/>
  <c r="Y28"/>
  <c r="Y29"/>
  <c r="Y30"/>
  <c r="Y31"/>
  <c r="Y32"/>
  <c r="Y33"/>
  <c r="Y34"/>
  <c r="Y35"/>
  <c r="Y36"/>
  <c r="Y37"/>
  <c r="Y38"/>
  <c r="Y39"/>
  <c r="Y40"/>
  <c r="Y41"/>
  <c r="Y42"/>
  <c r="Y43"/>
  <c r="Y44"/>
  <c r="Y45"/>
  <c r="Y46"/>
  <c r="Y47"/>
  <c r="Y48"/>
  <c r="Y49"/>
  <c r="Y50"/>
  <c r="Y51"/>
  <c r="Y52"/>
  <c r="Y53"/>
  <c r="Y54"/>
  <c r="Y55"/>
  <c r="Y56"/>
  <c r="Y57"/>
  <c r="Y58"/>
  <c r="Y59"/>
  <c r="Y60"/>
  <c r="Y61"/>
  <c r="Y62"/>
  <c r="Y63"/>
  <c r="Y64"/>
  <c r="Y65"/>
  <c r="Y66"/>
  <c r="Y67"/>
  <c r="Y68"/>
  <c r="Y69"/>
  <c r="Y70"/>
  <c r="Y71"/>
  <c r="Y72"/>
  <c r="Y73"/>
  <c r="Y74"/>
  <c r="Y75"/>
  <c r="Y76"/>
  <c r="Y77"/>
  <c r="Y78"/>
  <c r="Y79"/>
  <c r="Y80"/>
  <c r="Y81"/>
  <c r="Y82"/>
  <c r="Y83"/>
  <c r="Y84"/>
  <c r="Z10"/>
  <c r="Y10"/>
  <c r="AA10" l="1"/>
  <c r="AA11"/>
  <c r="AA81"/>
  <c r="AA77"/>
  <c r="AA73"/>
  <c r="AA69"/>
  <c r="AA65"/>
  <c r="AA61"/>
  <c r="AA57"/>
  <c r="AA53"/>
  <c r="AA49"/>
  <c r="AA45"/>
  <c r="AA41"/>
  <c r="AA82"/>
  <c r="AA78"/>
  <c r="AA74"/>
  <c r="AA70"/>
  <c r="AA66"/>
  <c r="AA62"/>
  <c r="AA58"/>
  <c r="AA54"/>
  <c r="AA50"/>
  <c r="AA46"/>
  <c r="AA42"/>
  <c r="AA38"/>
  <c r="AA34"/>
  <c r="AA30"/>
  <c r="AA26"/>
  <c r="AA22"/>
  <c r="AA18"/>
  <c r="AA14"/>
  <c r="AA37"/>
  <c r="AA33"/>
  <c r="AA29"/>
  <c r="AA25"/>
  <c r="AA21"/>
  <c r="AA17"/>
  <c r="AA13"/>
  <c r="AA83"/>
  <c r="AA79"/>
  <c r="AA75"/>
  <c r="AA71"/>
  <c r="AA67"/>
  <c r="AA63"/>
  <c r="AA59"/>
  <c r="AA55"/>
  <c r="AA51"/>
  <c r="AA47"/>
  <c r="AA43"/>
  <c r="AA39"/>
  <c r="AA35"/>
  <c r="AA31"/>
  <c r="AA27"/>
  <c r="AA23"/>
  <c r="AA19"/>
  <c r="AB19" s="1"/>
  <c r="AA15"/>
  <c r="AA84"/>
  <c r="AA80"/>
  <c r="AA76"/>
  <c r="AA72"/>
  <c r="AA68"/>
  <c r="AA64"/>
  <c r="AA60"/>
  <c r="AA56"/>
  <c r="AA52"/>
  <c r="AA48"/>
  <c r="AA44"/>
  <c r="AA40"/>
  <c r="AA36"/>
  <c r="AA32"/>
  <c r="AA28"/>
  <c r="AA24"/>
  <c r="AA20"/>
  <c r="AB20" s="1"/>
  <c r="AA16"/>
  <c r="AA12"/>
  <c r="J11"/>
  <c r="J12"/>
  <c r="J13"/>
  <c r="J14"/>
  <c r="J15"/>
  <c r="J16"/>
  <c r="J17"/>
  <c r="J18"/>
  <c r="J19"/>
  <c r="J20"/>
  <c r="J21"/>
  <c r="J22"/>
  <c r="J23"/>
  <c r="J24"/>
  <c r="J25"/>
  <c r="J26"/>
  <c r="J27"/>
  <c r="J28"/>
  <c r="J29"/>
  <c r="J30"/>
  <c r="J31"/>
  <c r="J32"/>
  <c r="J33"/>
  <c r="J34"/>
  <c r="J35"/>
  <c r="J36"/>
  <c r="J37"/>
  <c r="J38"/>
  <c r="J39"/>
  <c r="J40"/>
  <c r="J41"/>
  <c r="J42"/>
  <c r="J43"/>
  <c r="J44"/>
  <c r="J45"/>
  <c r="J46"/>
  <c r="J47"/>
  <c r="J48"/>
  <c r="J49"/>
  <c r="J50"/>
  <c r="J51"/>
  <c r="J52"/>
  <c r="J53"/>
  <c r="J54"/>
  <c r="J55"/>
  <c r="J56"/>
  <c r="J57"/>
  <c r="J58"/>
  <c r="J59"/>
  <c r="J60"/>
  <c r="J61"/>
  <c r="J62"/>
  <c r="J63"/>
  <c r="J64"/>
  <c r="J65"/>
  <c r="J66"/>
  <c r="J67"/>
  <c r="J68"/>
  <c r="J69"/>
  <c r="J70"/>
  <c r="J71"/>
  <c r="J72"/>
  <c r="J73"/>
  <c r="J74"/>
  <c r="J75"/>
  <c r="J76"/>
  <c r="J77"/>
  <c r="J78"/>
  <c r="J79"/>
  <c r="J80"/>
  <c r="J81"/>
  <c r="J82"/>
  <c r="J83"/>
  <c r="J84"/>
  <c r="L11"/>
  <c r="L12"/>
  <c r="L13"/>
  <c r="L14"/>
  <c r="L15"/>
  <c r="L16"/>
  <c r="L17"/>
  <c r="L18"/>
  <c r="L19"/>
  <c r="L20"/>
  <c r="L21"/>
  <c r="L22"/>
  <c r="L23"/>
  <c r="L24"/>
  <c r="L25"/>
  <c r="L26"/>
  <c r="L27"/>
  <c r="L28"/>
  <c r="L29"/>
  <c r="L30"/>
  <c r="L31"/>
  <c r="L32"/>
  <c r="L33"/>
  <c r="L34"/>
  <c r="L35"/>
  <c r="L36"/>
  <c r="L37"/>
  <c r="L38"/>
  <c r="L39"/>
  <c r="L40"/>
  <c r="L41"/>
  <c r="L42"/>
  <c r="L43"/>
  <c r="L44"/>
  <c r="L45"/>
  <c r="L46"/>
  <c r="L47"/>
  <c r="L48"/>
  <c r="L49"/>
  <c r="L50"/>
  <c r="L51"/>
  <c r="L52"/>
  <c r="L53"/>
  <c r="L54"/>
  <c r="L55"/>
  <c r="L56"/>
  <c r="L57"/>
  <c r="L58"/>
  <c r="L59"/>
  <c r="L60"/>
  <c r="L61"/>
  <c r="L62"/>
  <c r="L63"/>
  <c r="L64"/>
  <c r="L65"/>
  <c r="L66"/>
  <c r="L67"/>
  <c r="L68"/>
  <c r="L69"/>
  <c r="L70"/>
  <c r="L71"/>
  <c r="L72"/>
  <c r="L73"/>
  <c r="L74"/>
  <c r="L75"/>
  <c r="L76"/>
  <c r="L77"/>
  <c r="L78"/>
  <c r="L79"/>
  <c r="L80"/>
  <c r="L81"/>
  <c r="L82"/>
  <c r="L83"/>
  <c r="L84"/>
  <c r="K11"/>
  <c r="K12"/>
  <c r="K13"/>
  <c r="K14"/>
  <c r="K15"/>
  <c r="K16"/>
  <c r="K17"/>
  <c r="K18"/>
  <c r="K19"/>
  <c r="K20"/>
  <c r="K21"/>
  <c r="K22"/>
  <c r="K23"/>
  <c r="K24"/>
  <c r="K25"/>
  <c r="K26"/>
  <c r="K27"/>
  <c r="K28"/>
  <c r="K29"/>
  <c r="K30"/>
  <c r="K31"/>
  <c r="K32"/>
  <c r="K33"/>
  <c r="K34"/>
  <c r="K35"/>
  <c r="K36"/>
  <c r="K37"/>
  <c r="K38"/>
  <c r="K39"/>
  <c r="K40"/>
  <c r="K41"/>
  <c r="K42"/>
  <c r="K43"/>
  <c r="K44"/>
  <c r="K45"/>
  <c r="K46"/>
  <c r="K47"/>
  <c r="K48"/>
  <c r="K49"/>
  <c r="K50"/>
  <c r="K51"/>
  <c r="K52"/>
  <c r="K53"/>
  <c r="K54"/>
  <c r="K55"/>
  <c r="K56"/>
  <c r="K57"/>
  <c r="K58"/>
  <c r="K59"/>
  <c r="K60"/>
  <c r="K61"/>
  <c r="K62"/>
  <c r="K63"/>
  <c r="K64"/>
  <c r="K65"/>
  <c r="K66"/>
  <c r="K67"/>
  <c r="K68"/>
  <c r="K69"/>
  <c r="K70"/>
  <c r="K71"/>
  <c r="K72"/>
  <c r="K73"/>
  <c r="K74"/>
  <c r="K75"/>
  <c r="K76"/>
  <c r="K77"/>
  <c r="K78"/>
  <c r="K79"/>
  <c r="K80"/>
  <c r="K81"/>
  <c r="K82"/>
  <c r="K83"/>
  <c r="K84"/>
  <c r="AB48" l="1"/>
  <c r="AB49"/>
  <c r="AB45"/>
  <c r="AB47"/>
  <c r="AB50"/>
  <c r="AB33"/>
  <c r="AB32"/>
  <c r="AB31"/>
  <c r="AB30"/>
  <c r="AB23"/>
  <c r="AB56"/>
  <c r="AB67"/>
  <c r="AB60"/>
  <c r="AB59"/>
  <c r="AB51"/>
  <c r="AB44"/>
  <c r="AB43"/>
  <c r="AB39"/>
  <c r="AB34"/>
  <c r="AB28"/>
  <c r="AB27"/>
  <c r="AB25"/>
  <c r="AB18"/>
  <c r="AB16"/>
  <c r="AB12"/>
  <c r="AB11"/>
  <c r="AB84"/>
  <c r="AB83"/>
  <c r="AB82"/>
  <c r="AB81"/>
  <c r="AB80"/>
  <c r="AB79"/>
  <c r="AB77"/>
  <c r="AB74"/>
  <c r="AB71"/>
  <c r="AB70"/>
  <c r="AB69"/>
  <c r="AB68"/>
  <c r="AB66"/>
  <c r="AB65"/>
  <c r="AB64"/>
  <c r="AB63"/>
  <c r="AB62"/>
  <c r="AB61"/>
  <c r="AB58"/>
  <c r="AB57"/>
  <c r="AB55"/>
  <c r="AB54"/>
  <c r="AB53"/>
  <c r="AB52"/>
  <c r="AB46"/>
  <c r="AB42"/>
  <c r="AB36"/>
  <c r="AB35"/>
  <c r="AB29"/>
  <c r="AB26"/>
  <c r="AB24"/>
  <c r="AB22"/>
  <c r="AB21"/>
  <c r="AB17"/>
  <c r="AB15"/>
  <c r="AB14"/>
  <c r="AB13"/>
  <c r="AB78"/>
  <c r="AB76"/>
  <c r="AB75"/>
  <c r="AB73"/>
  <c r="AB72"/>
  <c r="AB41"/>
  <c r="AB40"/>
  <c r="AB38"/>
  <c r="AB37"/>
  <c r="K10"/>
  <c r="L10"/>
  <c r="J10"/>
  <c r="G6"/>
  <c r="C11" i="7"/>
  <c r="E11" s="1"/>
  <c r="C13"/>
  <c r="E13" s="1"/>
  <c r="C75"/>
  <c r="E75" s="1"/>
  <c r="C2"/>
  <c r="E2" s="1"/>
  <c r="C3"/>
  <c r="E3" s="1"/>
  <c r="C4"/>
  <c r="E4" s="1"/>
  <c r="C5"/>
  <c r="E5" s="1"/>
  <c r="C6"/>
  <c r="E6" s="1"/>
  <c r="C7"/>
  <c r="E7" s="1"/>
  <c r="C8"/>
  <c r="E8" s="1"/>
  <c r="C9"/>
  <c r="E9" s="1"/>
  <c r="C10"/>
  <c r="E10" s="1"/>
  <c r="C12"/>
  <c r="E12" s="1"/>
  <c r="C14"/>
  <c r="E14" s="1"/>
  <c r="C15"/>
  <c r="E15" s="1"/>
  <c r="C16"/>
  <c r="E16" s="1"/>
  <c r="C17"/>
  <c r="E17" s="1"/>
  <c r="C18"/>
  <c r="E18" s="1"/>
  <c r="C19"/>
  <c r="E19" s="1"/>
  <c r="C20"/>
  <c r="E20" s="1"/>
  <c r="C21"/>
  <c r="E21" s="1"/>
  <c r="C22"/>
  <c r="E22" s="1"/>
  <c r="C23"/>
  <c r="E23" s="1"/>
  <c r="C24"/>
  <c r="E24" s="1"/>
  <c r="C25"/>
  <c r="E25" s="1"/>
  <c r="C26"/>
  <c r="E26" s="1"/>
  <c r="C27"/>
  <c r="E27" s="1"/>
  <c r="C28"/>
  <c r="E28" s="1"/>
  <c r="C29"/>
  <c r="E29" s="1"/>
  <c r="C30"/>
  <c r="E30" s="1"/>
  <c r="C31"/>
  <c r="E31" s="1"/>
  <c r="C32"/>
  <c r="E32" s="1"/>
  <c r="C33"/>
  <c r="E33" s="1"/>
  <c r="C34"/>
  <c r="E34" s="1"/>
  <c r="C35"/>
  <c r="E35" s="1"/>
  <c r="C36"/>
  <c r="E36" s="1"/>
  <c r="C37"/>
  <c r="E37" s="1"/>
  <c r="C38"/>
  <c r="E38" s="1"/>
  <c r="C39"/>
  <c r="E39" s="1"/>
  <c r="C40"/>
  <c r="E40" s="1"/>
  <c r="C41"/>
  <c r="E41" s="1"/>
  <c r="C42"/>
  <c r="E42" s="1"/>
  <c r="C43"/>
  <c r="E43" s="1"/>
  <c r="C44"/>
  <c r="E44" s="1"/>
  <c r="C45"/>
  <c r="E45" s="1"/>
  <c r="C46"/>
  <c r="E46" s="1"/>
  <c r="C47"/>
  <c r="E47" s="1"/>
  <c r="C48"/>
  <c r="E48" s="1"/>
  <c r="C49"/>
  <c r="E49" s="1"/>
  <c r="C50"/>
  <c r="E50" s="1"/>
  <c r="C51"/>
  <c r="E51" s="1"/>
  <c r="C52"/>
  <c r="E52" s="1"/>
  <c r="C53"/>
  <c r="E53" s="1"/>
  <c r="C54"/>
  <c r="E54" s="1"/>
  <c r="C55"/>
  <c r="E55" s="1"/>
  <c r="C56"/>
  <c r="E56" s="1"/>
  <c r="C57"/>
  <c r="E57" s="1"/>
  <c r="C58"/>
  <c r="E58" s="1"/>
  <c r="C59"/>
  <c r="E59" s="1"/>
  <c r="C60"/>
  <c r="E60" s="1"/>
  <c r="C61"/>
  <c r="E61" s="1"/>
  <c r="C62"/>
  <c r="E62" s="1"/>
  <c r="C63"/>
  <c r="E63" s="1"/>
  <c r="C64"/>
  <c r="E64" s="1"/>
  <c r="C65"/>
  <c r="E65" s="1"/>
  <c r="C66"/>
  <c r="E66" s="1"/>
  <c r="C67"/>
  <c r="E67" s="1"/>
  <c r="C68"/>
  <c r="E68" s="1"/>
  <c r="C69"/>
  <c r="E69" s="1"/>
  <c r="C70"/>
  <c r="E70" s="1"/>
  <c r="C71"/>
  <c r="E71" s="1"/>
  <c r="C72"/>
  <c r="E72" s="1"/>
  <c r="C73"/>
  <c r="E73" s="1"/>
  <c r="C74"/>
  <c r="E74" s="1"/>
  <c r="D3"/>
  <c r="D4"/>
  <c r="D5"/>
  <c r="D6"/>
  <c r="D7"/>
  <c r="D8"/>
  <c r="D9"/>
  <c r="D10"/>
  <c r="D11"/>
  <c r="D12"/>
  <c r="D13"/>
  <c r="D14"/>
  <c r="D15"/>
  <c r="D16"/>
  <c r="D17"/>
  <c r="D18"/>
  <c r="D19"/>
  <c r="D20"/>
  <c r="D21"/>
  <c r="D22"/>
  <c r="D23"/>
  <c r="D24"/>
  <c r="D25"/>
  <c r="D26"/>
  <c r="D27"/>
  <c r="D28"/>
  <c r="D29"/>
  <c r="D30"/>
  <c r="D31"/>
  <c r="D32"/>
  <c r="D33"/>
  <c r="D34"/>
  <c r="D35"/>
  <c r="D36"/>
  <c r="D37"/>
  <c r="D38"/>
  <c r="D39"/>
  <c r="D40"/>
  <c r="D41"/>
  <c r="D42"/>
  <c r="D43"/>
  <c r="D44"/>
  <c r="D45"/>
  <c r="D46"/>
  <c r="D47"/>
  <c r="D48"/>
  <c r="D49"/>
  <c r="D50"/>
  <c r="D51"/>
  <c r="D52"/>
  <c r="D53"/>
  <c r="D54"/>
  <c r="D55"/>
  <c r="D56"/>
  <c r="D57"/>
  <c r="D58"/>
  <c r="D59"/>
  <c r="D60"/>
  <c r="D61"/>
  <c r="D62"/>
  <c r="D63"/>
  <c r="D64"/>
  <c r="D65"/>
  <c r="D66"/>
  <c r="D67"/>
  <c r="D68"/>
  <c r="D69"/>
  <c r="D70"/>
  <c r="D71"/>
  <c r="D72"/>
  <c r="D73"/>
  <c r="D74"/>
  <c r="D75"/>
  <c r="B1"/>
  <c r="A1" s="1"/>
  <c r="D2"/>
  <c r="D6" i="1"/>
  <c r="Q6"/>
  <c r="P6"/>
  <c r="O6"/>
  <c r="N6"/>
  <c r="M6"/>
  <c r="L6"/>
  <c r="K6"/>
  <c r="J6"/>
  <c r="I6"/>
  <c r="H6"/>
  <c r="F6"/>
  <c r="E6"/>
  <c r="C6"/>
  <c r="B6"/>
  <c r="A6"/>
  <c r="AB10" l="1"/>
  <c r="F5" i="7"/>
  <c r="A5" s="1"/>
  <c r="F9"/>
  <c r="A9" s="1"/>
  <c r="F13"/>
  <c r="A13" s="1"/>
  <c r="F17"/>
  <c r="A17" s="1"/>
  <c r="F21"/>
  <c r="A21" s="1"/>
  <c r="F25"/>
  <c r="A25" s="1"/>
  <c r="F29"/>
  <c r="A29" s="1"/>
  <c r="F33"/>
  <c r="A33" s="1"/>
  <c r="F37"/>
  <c r="A37" s="1"/>
  <c r="F41"/>
  <c r="A41" s="1"/>
  <c r="F45"/>
  <c r="A45" s="1"/>
  <c r="F49"/>
  <c r="A49" s="1"/>
  <c r="F53"/>
  <c r="A53" s="1"/>
  <c r="F57"/>
  <c r="A57" s="1"/>
  <c r="F61"/>
  <c r="A61" s="1"/>
  <c r="F65"/>
  <c r="A65" s="1"/>
  <c r="F69"/>
  <c r="A69" s="1"/>
  <c r="F73"/>
  <c r="A73" s="1"/>
  <c r="F8"/>
  <c r="A8" s="1"/>
  <c r="F20"/>
  <c r="A20" s="1"/>
  <c r="F28"/>
  <c r="A28" s="1"/>
  <c r="F36"/>
  <c r="A36" s="1"/>
  <c r="F44"/>
  <c r="A44" s="1"/>
  <c r="F52"/>
  <c r="A52" s="1"/>
  <c r="F60"/>
  <c r="A60" s="1"/>
  <c r="F68"/>
  <c r="A68" s="1"/>
  <c r="F2"/>
  <c r="A2" s="1"/>
  <c r="F15"/>
  <c r="A15" s="1"/>
  <c r="F39"/>
  <c r="A39" s="1"/>
  <c r="F51"/>
  <c r="A51" s="1"/>
  <c r="F63"/>
  <c r="A63" s="1"/>
  <c r="F75"/>
  <c r="A75" s="1"/>
  <c r="F4"/>
  <c r="A4" s="1"/>
  <c r="F67"/>
  <c r="A67" s="1"/>
  <c r="F3"/>
  <c r="A3" s="1"/>
  <c r="F7"/>
  <c r="A7" s="1"/>
  <c r="F19"/>
  <c r="A19" s="1"/>
  <c r="F23"/>
  <c r="A23" s="1"/>
  <c r="F31"/>
  <c r="A31" s="1"/>
  <c r="F43"/>
  <c r="A43" s="1"/>
  <c r="F59"/>
  <c r="A59" s="1"/>
  <c r="F6"/>
  <c r="A6" s="1"/>
  <c r="F10"/>
  <c r="A10" s="1"/>
  <c r="F14"/>
  <c r="A14" s="1"/>
  <c r="F18"/>
  <c r="A18" s="1"/>
  <c r="F22"/>
  <c r="A22" s="1"/>
  <c r="F26"/>
  <c r="A26" s="1"/>
  <c r="F30"/>
  <c r="A30" s="1"/>
  <c r="F34"/>
  <c r="A34" s="1"/>
  <c r="F38"/>
  <c r="A38" s="1"/>
  <c r="F42"/>
  <c r="A42" s="1"/>
  <c r="F46"/>
  <c r="A46" s="1"/>
  <c r="F50"/>
  <c r="A50" s="1"/>
  <c r="F54"/>
  <c r="A54" s="1"/>
  <c r="F58"/>
  <c r="A58" s="1"/>
  <c r="F62"/>
  <c r="A62" s="1"/>
  <c r="F66"/>
  <c r="A66" s="1"/>
  <c r="F70"/>
  <c r="A70" s="1"/>
  <c r="F74"/>
  <c r="A74" s="1"/>
  <c r="F12"/>
  <c r="A12" s="1"/>
  <c r="F16"/>
  <c r="A16" s="1"/>
  <c r="F24"/>
  <c r="A24" s="1"/>
  <c r="F32"/>
  <c r="A32" s="1"/>
  <c r="F40"/>
  <c r="A40" s="1"/>
  <c r="F48"/>
  <c r="A48" s="1"/>
  <c r="F56"/>
  <c r="A56" s="1"/>
  <c r="F64"/>
  <c r="A64" s="1"/>
  <c r="F72"/>
  <c r="A72" s="1"/>
  <c r="F11"/>
  <c r="A11" s="1"/>
  <c r="F27"/>
  <c r="A27" s="1"/>
  <c r="F35"/>
  <c r="A35" s="1"/>
  <c r="F47"/>
  <c r="A47" s="1"/>
  <c r="F55"/>
  <c r="A55" s="1"/>
  <c r="F71"/>
  <c r="A71" s="1"/>
</calcChain>
</file>

<file path=xl/comments1.xml><?xml version="1.0" encoding="utf-8"?>
<comments xmlns="http://schemas.openxmlformats.org/spreadsheetml/2006/main">
  <authors>
    <author>Note:</author>
  </authors>
  <commentList>
    <comment ref="C32" authorId="0">
      <text>
        <r>
          <rPr>
            <b/>
            <sz val="10"/>
            <color indexed="81"/>
            <rFont val="Calibri"/>
            <family val="2"/>
          </rPr>
          <t>USAA</t>
        </r>
        <r>
          <rPr>
            <sz val="10"/>
            <color indexed="81"/>
            <rFont val="Calibri"/>
            <family val="2"/>
          </rPr>
          <t xml:space="preserve">
IF NO
- Pull From VA WebLGY
- If not in WebLGY, guide members to how to obtain their COE.</t>
        </r>
      </text>
    </comment>
    <comment ref="C38" authorId="0">
      <text>
        <r>
          <rPr>
            <b/>
            <sz val="10"/>
            <color indexed="81"/>
            <rFont val="Calibri"/>
            <family val="2"/>
          </rPr>
          <t xml:space="preserve">USAA
MILITARY MEMBERS
- </t>
        </r>
        <r>
          <rPr>
            <sz val="10"/>
            <color indexed="81"/>
            <rFont val="Calibri"/>
            <family val="2"/>
          </rPr>
          <t xml:space="preserve">Most current Leave and Earnings Statement (LES) statement (dated within 90 days of closing date), source any allotments.
- Calc Basic Allowance of Housing (BAH) on orders if member is Permanent Change of Station (PCS’ing) 
</t>
        </r>
      </text>
    </comment>
    <comment ref="C39" authorId="0">
      <text>
        <r>
          <rPr>
            <b/>
            <sz val="10"/>
            <color indexed="81"/>
            <rFont val="Calibri"/>
            <family val="2"/>
          </rPr>
          <t xml:space="preserve">USAA
</t>
        </r>
        <r>
          <rPr>
            <sz val="10"/>
            <color indexed="81"/>
            <rFont val="Calibri"/>
            <family val="2"/>
          </rPr>
          <t>- One paystub dated within 30 days of YTD earnings and the most recent W-2 (all employers)
- Last 2 years W-2’s if less than 2 years at current employer or if second job is listed.
- Retirement income – retiree account statement
- Child support/alimony - provide signed/recorded divorce decree all pages and see KD and AllRegs for additional requirements. Will need 6 most recent consecutive bank statements to show deposit.</t>
        </r>
      </text>
    </comment>
    <comment ref="C40" authorId="0">
      <text>
        <r>
          <rPr>
            <b/>
            <sz val="10"/>
            <color indexed="81"/>
            <rFont val="Calibri"/>
            <family val="2"/>
          </rPr>
          <t xml:space="preserve">USAA
SELF EMPLOYED
</t>
        </r>
        <r>
          <rPr>
            <sz val="10"/>
            <color indexed="81"/>
            <rFont val="Calibri"/>
            <family val="2"/>
          </rPr>
          <t xml:space="preserve">- If self employed, two years of most recent tax returns (including all pages, schedules and supporting documentation (W-2’s, 1099’s, K-1’s, etc.).
- Retirement income – retiree account statement
- Child support/alimony - provide signed/recorded divorce decree all pages and see KD for additional requirements. Will need 6 most recent consecutive bank statements to show deposit
</t>
        </r>
      </text>
    </comment>
    <comment ref="C42" authorId="0">
      <text>
        <r>
          <rPr>
            <b/>
            <sz val="10"/>
            <color indexed="81"/>
            <rFont val="Calibri"/>
            <family val="2"/>
          </rPr>
          <t>USAA:</t>
        </r>
        <r>
          <rPr>
            <sz val="10"/>
            <color indexed="81"/>
            <rFont val="Calibri"/>
            <family val="2"/>
          </rPr>
          <t xml:space="preserve">
Liabilities - Child Care: signed and dated letter providing the amount of child care expenses or lack thereof
Child Support/Alimony
Provide a copy of final divorce decree or court order, first page, all pertinent pages pertaining to the child support/alimony payments and page with judge's signature or recorded stamp to verify child support/alimony payments and its terms
With expense:
   Borrower(s) name
     Signed and dated
     Monthly expenses amount
     Name and address of child care provider
NO expense:
     Borrower(s) name
     Signed and dated
     State no expense amount
     Explanation for no expense</t>
        </r>
      </text>
    </comment>
    <comment ref="C43" authorId="0">
      <text>
        <r>
          <rPr>
            <b/>
            <sz val="10"/>
            <color indexed="81"/>
            <rFont val="Calibri"/>
            <family val="2"/>
          </rPr>
          <t>USAA</t>
        </r>
        <r>
          <rPr>
            <sz val="10"/>
            <color indexed="81"/>
            <rFont val="Calibri"/>
            <family val="2"/>
          </rPr>
          <t xml:space="preserve">
USAA accounts: yes/no &gt;If yes, pull statements from portal
If no, request bank statement(s) to include: • Bank name, borrower name, acct number, all pages, 30 day transaction history – to cover closing costs and any additional requirements. 
If using internet printout – verify has full URL at bottom •  Advise member of large deposits and transfer of money, must be sourced. </t>
        </r>
      </text>
    </comment>
    <comment ref="C44" authorId="0">
      <text>
        <r>
          <rPr>
            <b/>
            <sz val="10"/>
            <color indexed="81"/>
            <rFont val="Calibri"/>
            <family val="2"/>
          </rPr>
          <t>USAA</t>
        </r>
        <r>
          <rPr>
            <sz val="10"/>
            <color indexed="81"/>
            <rFont val="Calibri"/>
            <family val="2"/>
          </rPr>
          <t xml:space="preserve">
Credit Inquiries: Verify that all inquiries within the last 120 days have been address with a comment.  If there is newly established liability, a supplement credit report is required</t>
        </r>
      </text>
    </comment>
    <comment ref="C45" authorId="0">
      <text>
        <r>
          <rPr>
            <b/>
            <sz val="10"/>
            <color indexed="81"/>
            <rFont val="Calibri"/>
            <family val="2"/>
          </rPr>
          <t>USAA</t>
        </r>
        <r>
          <rPr>
            <sz val="10"/>
            <color indexed="81"/>
            <rFont val="Calibri"/>
            <family val="2"/>
          </rPr>
          <t xml:space="preserve">
Credit Inquiries: Verify that all inquiries within the last 120 days have been addressed with a comment.  If there is newly established liability, a supplement credit report is required</t>
        </r>
      </text>
    </comment>
    <comment ref="C46" authorId="0">
      <text>
        <r>
          <rPr>
            <b/>
            <sz val="10"/>
            <color indexed="81"/>
            <rFont val="Calibri"/>
            <family val="2"/>
          </rPr>
          <t>USAA</t>
        </r>
        <r>
          <rPr>
            <sz val="10"/>
            <color indexed="81"/>
            <rFont val="Calibri"/>
            <family val="2"/>
          </rPr>
          <t xml:space="preserve">
Liabilities - Child Care: signed and dated letter providing the amount of child care expenses or lack thereof
Child Support/Alimony
Provide a copy of final divorce decree or court order, first page, all pertinent pages pertaining to the child support/alimony payments and page with judge's signature or recorded stamp to verify child support/alimony payments and its terms
With expense:
   Borrower(s) name
     Signed and dated
     Monthly expenses amount
     Name and address of child care provider
NO expense:
     Borrower(s) name
     Signed and dated
     State no expense amount
     Explanation for no expense</t>
        </r>
      </text>
    </comment>
    <comment ref="C47" authorId="0">
      <text>
        <r>
          <rPr>
            <b/>
            <sz val="10"/>
            <color indexed="81"/>
            <rFont val="Calibri"/>
            <family val="2"/>
          </rPr>
          <t>USAA:</t>
        </r>
        <r>
          <rPr>
            <sz val="10"/>
            <color indexed="81"/>
            <rFont val="Calibri"/>
            <family val="2"/>
          </rPr>
          <t xml:space="preserve">
Liabilities - Child Care: signed and dated letter providing the amount of child care expenses or lack thereof
Child Support/Alimony
Provide a copy of final divorce decree or court order, first page, all pertinent pages pertaining to the child support/alimony payments and page with judge's signature or recorded stamp to verify child support/alimony payments and its terms
With expense:
   Borrower(s) name
     Signed and dated
     Monthly expenses amount
     Name and address of child care provider
NO expense:
     Borrower(s) name
     Signed and dated
     State no expense amount
     Explanation for no expense</t>
        </r>
      </text>
    </comment>
    <comment ref="C56" authorId="0">
      <text>
        <r>
          <rPr>
            <b/>
            <sz val="10"/>
            <color indexed="81"/>
            <rFont val="Calibri"/>
            <family val="2"/>
          </rPr>
          <t>USAA</t>
        </r>
        <r>
          <rPr>
            <sz val="10"/>
            <color indexed="81"/>
            <rFont val="Calibri"/>
            <family val="2"/>
          </rPr>
          <t xml:space="preserve">
Community Property states: 
• Arizona
• California
• Idaho
• Louisiana
• Nevada
• New Mexico
• Texas
• Washington
• Wisconsin
</t>
        </r>
      </text>
    </comment>
    <comment ref="C61" authorId="0">
      <text>
        <r>
          <rPr>
            <b/>
            <sz val="10"/>
            <color indexed="81"/>
            <rFont val="Calibri"/>
            <family val="2"/>
          </rPr>
          <t>USAA</t>
        </r>
        <r>
          <rPr>
            <sz val="10"/>
            <color indexed="81"/>
            <rFont val="Calibri"/>
            <family val="2"/>
          </rPr>
          <t xml:space="preserve">
Based on the "Detail of Transaction" on 1003 Section VII</t>
        </r>
      </text>
    </comment>
    <comment ref="C68" authorId="0">
      <text>
        <r>
          <rPr>
            <b/>
            <sz val="10"/>
            <color indexed="81"/>
            <rFont val="Calibri"/>
            <family val="2"/>
          </rPr>
          <t xml:space="preserve">USAA
</t>
        </r>
        <r>
          <rPr>
            <sz val="10"/>
            <color indexed="81"/>
            <rFont val="Calibri"/>
            <family val="2"/>
          </rPr>
          <t>RIGHT OF REDEMPTION is the RIGHT of a debtor, whose property has been FORECLOSED upon and sold, to RECLAIM the property if they are able to SETTLE the debt.</t>
        </r>
      </text>
    </comment>
    <comment ref="C70" authorId="0">
      <text>
        <r>
          <rPr>
            <b/>
            <sz val="10"/>
            <color indexed="81"/>
            <rFont val="Calibri"/>
            <family val="2"/>
          </rPr>
          <t>USAA</t>
        </r>
        <r>
          <rPr>
            <sz val="10"/>
            <color indexed="81"/>
            <rFont val="Calibri"/>
            <family val="2"/>
          </rPr>
          <t xml:space="preserve">
• Verify policy is imaged in Portal, obtain from P&amp;C if not (If USAA insurance)
• If not initiated, use the Enterprise Call Assistant in Portal to transfer to P&amp;C  (If USAA insurance) </t>
        </r>
      </text>
    </comment>
    <comment ref="C73" authorId="0">
      <text>
        <r>
          <rPr>
            <b/>
            <sz val="10"/>
            <color indexed="81"/>
            <rFont val="Calibri"/>
            <family val="2"/>
          </rPr>
          <t>USAA</t>
        </r>
        <r>
          <rPr>
            <sz val="10"/>
            <color indexed="81"/>
            <rFont val="Calibri"/>
            <family val="2"/>
          </rPr>
          <t xml:space="preserve">
For VA loans, the VA generally requires termites for the following states: 
• Alabama                    • Washington DC                 • Iowa                         • Massachusetts                      • New Hampshire (see below)              • Oklahoma                          • Utah
• Arizona                       • Florida                               • Hawaii                     • Michigan (see below)           • New Jersey                                             • Pennsylvania                     • Vermont (see below)
• Arkansas                    • Georgia                              • Kansas                     • Mississippi                             • New Mexico                                           • Rhode Island                     • Virginia
• California                   • Idaho                                  • Kentucky                  • Missouri                                  • New York (see below)                         • South Carolina                   • West Virginia
• Connecticut                • Illinois                               • Louisiana                • Nebraska                                • North Carolina                                       • Tennessee 
• Delaware                    • Indiana                             • Maryland                  • Nevada                                   • Ohio                                                         • Texas 
• Michigan - required for all properties in the following counties: Allegan, Barry, Berrien, Branch, Calhoun, Cass, Hillsdale, Ionia, Jackson, Kalamazoo, Kent, Lenawee, Livingston, Macomb, Mason, Monroe, Muskegon, Oakland, Oceana, Ottawa, St. Clair, St. Joseph, VanBuren, Washtenaw and Wayne                
• New Hampshire - required only for the southern New Hampshire counties of Cheshire, Sullivan, Merrimack, Rockingham, Belknap, Hillsborough and Strafford
• New York - required for all properties in the following counties: Bronx, Broome, Columbia, Delaware, Dutchess, Greene, Kings, Nassau, New York, Orange, Putnam, Queens, Richmond, Rockland, Suffolk, Sullivan, Ulster and Westchester
• Vermont - required only in the southern counties of Bennington and Windham
</t>
        </r>
      </text>
    </comment>
  </commentList>
</comments>
</file>

<file path=xl/sharedStrings.xml><?xml version="1.0" encoding="utf-8"?>
<sst xmlns="http://schemas.openxmlformats.org/spreadsheetml/2006/main" count="957" uniqueCount="482">
  <si>
    <t>Required Information</t>
  </si>
  <si>
    <t>Section</t>
  </si>
  <si>
    <t>VA</t>
  </si>
  <si>
    <t>Conv</t>
  </si>
  <si>
    <t>Scrub</t>
  </si>
  <si>
    <t>Purchase</t>
  </si>
  <si>
    <t>Refinance</t>
  </si>
  <si>
    <t>System Notes</t>
  </si>
  <si>
    <t>Item</t>
  </si>
  <si>
    <t>NMLS #</t>
  </si>
  <si>
    <t>Y</t>
  </si>
  <si>
    <t>Borrower Information</t>
  </si>
  <si>
    <t>Call Recording</t>
  </si>
  <si>
    <t>Application Package</t>
  </si>
  <si>
    <t>Loan Information</t>
  </si>
  <si>
    <r>
      <t xml:space="preserve">&gt; </t>
    </r>
    <r>
      <rPr>
        <b/>
        <sz val="11"/>
        <color theme="1"/>
        <rFont val="Calibri"/>
        <family val="2"/>
        <scheme val="minor"/>
      </rPr>
      <t xml:space="preserve">1003 &gt;Section II </t>
    </r>
    <r>
      <rPr>
        <sz val="12"/>
        <color theme="1"/>
        <rFont val="Calibri"/>
        <family val="2"/>
        <scheme val="minor"/>
      </rPr>
      <t>&gt; “</t>
    </r>
    <r>
      <rPr>
        <b/>
        <sz val="11"/>
        <color theme="1"/>
        <rFont val="Calibri"/>
        <family val="2"/>
        <scheme val="minor"/>
      </rPr>
      <t>Property Will Be” field</t>
    </r>
  </si>
  <si>
    <r>
      <t xml:space="preserve">&gt; </t>
    </r>
    <r>
      <rPr>
        <b/>
        <sz val="11"/>
        <color theme="1"/>
        <rFont val="Calibri"/>
        <family val="2"/>
        <scheme val="minor"/>
      </rPr>
      <t xml:space="preserve">USAA Loan Summary Details &gt;Dates section 
</t>
    </r>
    <r>
      <rPr>
        <b/>
        <sz val="11"/>
        <color rgb="FF00B050"/>
        <rFont val="Calibri"/>
        <family val="2"/>
        <scheme val="minor"/>
      </rPr>
      <t>OR</t>
    </r>
    <r>
      <rPr>
        <b/>
        <sz val="11"/>
        <color theme="1"/>
        <rFont val="Calibri"/>
        <family val="2"/>
        <scheme val="minor"/>
      </rPr>
      <t xml:space="preserve"> USAA Important Dates &gt; Closing/Funding section</t>
    </r>
  </si>
  <si>
    <r>
      <t xml:space="preserve">&gt; </t>
    </r>
    <r>
      <rPr>
        <b/>
        <sz val="11"/>
        <color theme="1"/>
        <rFont val="Calibri"/>
        <family val="2"/>
        <scheme val="minor"/>
      </rPr>
      <t>USAA Loan Summary Details &gt; Loan Information section</t>
    </r>
  </si>
  <si>
    <r>
      <t xml:space="preserve">&gt; </t>
    </r>
    <r>
      <rPr>
        <b/>
        <sz val="11"/>
        <color theme="1"/>
        <rFont val="Calibri"/>
        <family val="2"/>
        <scheme val="minor"/>
      </rPr>
      <t>USAA Important Dates &gt; Prior to Closing and Closing/Funding sections</t>
    </r>
  </si>
  <si>
    <r>
      <t>&gt;</t>
    </r>
    <r>
      <rPr>
        <b/>
        <sz val="11"/>
        <color theme="1"/>
        <rFont val="Calibri"/>
        <family val="2"/>
        <scheme val="minor"/>
      </rPr>
      <t xml:space="preserve"> USAA Loan Summary Details &gt; Loan Information section</t>
    </r>
  </si>
  <si>
    <r>
      <rPr>
        <u/>
        <sz val="11"/>
        <rFont val="Calibri"/>
        <family val="2"/>
      </rPr>
      <t xml:space="preserve">&gt; USAA Loan Summary Details &gt; Loan Information section. </t>
    </r>
    <r>
      <rPr>
        <u/>
        <sz val="11"/>
        <color theme="10"/>
        <rFont val="Calibri"/>
        <family val="2"/>
      </rPr>
      <t xml:space="preserve"> See Procedure Aid for financing/non-financing VA Funding Fee</t>
    </r>
  </si>
  <si>
    <t>&gt; USAA Loan Summary Details &gt; Loan Information section &gt; “Note Rate P&amp;I” and “Total Housing” fields</t>
  </si>
  <si>
    <t xml:space="preserve">&gt; USAA Loan Summary Details &gt; Loan Information section </t>
  </si>
  <si>
    <r>
      <t xml:space="preserve">&gt; </t>
    </r>
    <r>
      <rPr>
        <b/>
        <sz val="11"/>
        <color theme="1"/>
        <rFont val="Calibri"/>
        <family val="2"/>
        <scheme val="minor"/>
      </rPr>
      <t>Core Vendor &gt; Closing Agent section</t>
    </r>
  </si>
  <si>
    <r>
      <rPr>
        <u/>
        <sz val="11"/>
        <rFont val="Calibri"/>
        <family val="2"/>
      </rPr>
      <t>&gt; Actions &gt;Comments; See Delta</t>
    </r>
    <r>
      <rPr>
        <u/>
        <sz val="11"/>
        <color theme="10"/>
        <rFont val="Calibri"/>
        <family val="2"/>
      </rPr>
      <t xml:space="preserve"> Procedure Aid - Realtor Information Sharing</t>
    </r>
  </si>
  <si>
    <t xml:space="preserve">&gt; Actions &gt; Attachments </t>
  </si>
  <si>
    <r>
      <t>&gt; Actions &gt; Attachments.</t>
    </r>
    <r>
      <rPr>
        <sz val="11"/>
        <color theme="1"/>
        <rFont val="Wingdings"/>
        <charset val="2"/>
      </rPr>
      <t xml:space="preserve"> </t>
    </r>
    <r>
      <rPr>
        <sz val="12"/>
        <color theme="1"/>
        <rFont val="Calibri"/>
        <family val="2"/>
        <scheme val="minor"/>
      </rPr>
      <t xml:space="preserve">If need to obtain, utilize Electronic Application in VA Portal. </t>
    </r>
  </si>
  <si>
    <r>
      <t xml:space="preserve">&gt; </t>
    </r>
    <r>
      <rPr>
        <b/>
        <sz val="11"/>
        <color rgb="FF000000"/>
        <rFont val="Cambria"/>
        <family val="1"/>
      </rPr>
      <t>1003 &gt; VI. Assets and Liabilities section &gt;  Liabilities &gt; click on individual Mortgage and/or Line of Credit liabilities to verify</t>
    </r>
  </si>
  <si>
    <t>Legal</t>
  </si>
  <si>
    <t xml:space="preserve">&gt; Actions &gt;Attachments </t>
  </si>
  <si>
    <r>
      <t>&gt;</t>
    </r>
    <r>
      <rPr>
        <b/>
        <sz val="11"/>
        <color rgb="FF000000"/>
        <rFont val="Cambria"/>
        <family val="1"/>
      </rPr>
      <t>Ask the Member</t>
    </r>
    <r>
      <rPr>
        <b/>
        <i/>
        <sz val="11"/>
        <color rgb="FF000000"/>
        <rFont val="Cambria"/>
        <family val="1"/>
      </rPr>
      <t xml:space="preserve"> </t>
    </r>
  </si>
  <si>
    <t>Appraisal</t>
  </si>
  <si>
    <r>
      <t>&gt;</t>
    </r>
    <r>
      <rPr>
        <b/>
        <sz val="11"/>
        <color rgb="FF000000"/>
        <rFont val="Cambria"/>
        <family val="1"/>
      </rPr>
      <t>Actions &gt; Comments or USAA Loan Summary Details screen</t>
    </r>
  </si>
  <si>
    <t xml:space="preserve">&gt; Actions &gt; Order Services </t>
  </si>
  <si>
    <t>&gt; 1003 &gt;Section IV</t>
  </si>
  <si>
    <t>Income</t>
  </si>
  <si>
    <t xml:space="preserve">&gt; 1003 &gt; Section V </t>
  </si>
  <si>
    <r>
      <t xml:space="preserve">&gt; </t>
    </r>
    <r>
      <rPr>
        <b/>
        <sz val="11"/>
        <color rgb="FF000000"/>
        <rFont val="Cambria"/>
        <family val="1"/>
      </rPr>
      <t xml:space="preserve">Actions &gt; Order Services </t>
    </r>
  </si>
  <si>
    <r>
      <t xml:space="preserve">&gt; </t>
    </r>
    <r>
      <rPr>
        <b/>
        <sz val="11"/>
        <color rgb="FF000000"/>
        <rFont val="Cambria"/>
        <family val="1"/>
      </rPr>
      <t xml:space="preserve">1003 &gt; Section VI </t>
    </r>
  </si>
  <si>
    <t xml:space="preserve">&gt; 1003 &gt;Section VII </t>
  </si>
  <si>
    <t xml:space="preserve">&gt;Discuss with Member </t>
  </si>
  <si>
    <t xml:space="preserve">&gt; USAA Loan Summary Details screen or Actions &gt; Order Services </t>
  </si>
  <si>
    <r>
      <t>&gt;</t>
    </r>
    <r>
      <rPr>
        <b/>
        <i/>
        <sz val="11"/>
        <color rgb="FF000000"/>
        <rFont val="Cambria"/>
        <family val="1"/>
      </rPr>
      <t xml:space="preserve">Discuss with Member </t>
    </r>
  </si>
  <si>
    <t>Spoke To / Phone # Called</t>
  </si>
  <si>
    <t>Contact Information</t>
  </si>
  <si>
    <t>Provide NMLS #</t>
  </si>
  <si>
    <t>Call Recording Disclosure</t>
  </si>
  <si>
    <t>Member Authentication</t>
  </si>
  <si>
    <t>-</t>
  </si>
  <si>
    <t>Call Length</t>
  </si>
  <si>
    <t>Permission to spend 10-15 minutes with Member</t>
  </si>
  <si>
    <t>Member received Application Package</t>
  </si>
  <si>
    <t>&gt; 1003 &gt; Section II 
&gt; USAA Loan Summary Details &gt; Property Information section</t>
  </si>
  <si>
    <t>Occupancy</t>
  </si>
  <si>
    <t>Close Date</t>
  </si>
  <si>
    <t>Does the close date match the contract</t>
  </si>
  <si>
    <t>Back to Back Sale</t>
  </si>
  <si>
    <t>Is there another house to sell?</t>
  </si>
  <si>
    <t>Rate &amp; Lock</t>
  </si>
  <si>
    <t>Funding Date</t>
  </si>
  <si>
    <t>Rate Lock Expiration Date</t>
  </si>
  <si>
    <t>Is a Rate Lock Extension Required</t>
  </si>
  <si>
    <t>Is the Rate Locked and Rate Verified with Member?</t>
  </si>
  <si>
    <t>Purchase Loan</t>
  </si>
  <si>
    <t>Sales Price</t>
  </si>
  <si>
    <t>VA Funding Fee</t>
  </si>
  <si>
    <t>VA Funding Fee Amount $</t>
  </si>
  <si>
    <t>Total Loan Amount</t>
  </si>
  <si>
    <t>PITI</t>
  </si>
  <si>
    <t>P &amp; I Amount</t>
  </si>
  <si>
    <t>PITI Amount</t>
  </si>
  <si>
    <t>VA Funding Fee Form of Payment</t>
  </si>
  <si>
    <t>Home Owner's Association Fee Amount</t>
  </si>
  <si>
    <t>Home Owner's Association Fees</t>
  </si>
  <si>
    <t>Realtor</t>
  </si>
  <si>
    <t>Certificate of Eligibility (COE)</t>
  </si>
  <si>
    <t>Is there a COE in Cadence</t>
  </si>
  <si>
    <t>Does member have a COE document</t>
  </si>
  <si>
    <t>ASK MEMBER if they have a copy of either their
DD214 (Release from Active Duty)
26-1880 (Certified Veteran)
ADVISE MEMBERS without documentation that it will take 10 days to obtain, longer if they are newly retired or separated military members as information will need to be passed from their base to the National Archives</t>
  </si>
  <si>
    <t>Cash Out</t>
  </si>
  <si>
    <t>Subordinate Financing</t>
  </si>
  <si>
    <t>Subordinate Financing Amount</t>
  </si>
  <si>
    <t>&gt;1003 &gt; Section II &gt; “Subordinate Financing Amt” field 
&gt; 1003 &gt; VI. Assets and Liabilities section &gt;  Liabilities &gt; click on individual Mortgage and/or Line of Credit liabilities to verify</t>
  </si>
  <si>
    <t>Enter Purpose of Refinance
- Cash Out, Lower IR, Combine Loans, Home Improvement</t>
  </si>
  <si>
    <t xml:space="preserve">
&gt; Review loan purpose questions &gt; Actions &gt; Comments
Review HELOC guidelines for needed documents
&gt; Ask Member and update in HUD/VA Addendum screen &gt; Other Information section &gt; “Purpose of Refinance” field </t>
  </si>
  <si>
    <t>If a PCS, enter Location and Orders Received</t>
  </si>
  <si>
    <t>Mail Away</t>
  </si>
  <si>
    <t>ASK MEMBER to confirm address to be used for closing package delivery.</t>
  </si>
  <si>
    <t>Mail Away Address</t>
  </si>
  <si>
    <t>Is Lock Extension required due to Mail Away Timeframe</t>
  </si>
  <si>
    <t>Power of Attorney</t>
  </si>
  <si>
    <t>Permanent Change of Station</t>
  </si>
  <si>
    <t>Power of Attorney (POA)</t>
  </si>
  <si>
    <t>Non-Purchasing/Borrowing Spouse</t>
  </si>
  <si>
    <t>Non Purchasing / Borrowing Spouse</t>
  </si>
  <si>
    <t>Trust</t>
  </si>
  <si>
    <t>Trust Involved</t>
  </si>
  <si>
    <t>Appraisal Ordered</t>
  </si>
  <si>
    <t>Member contacted by Appraiser</t>
  </si>
  <si>
    <t>Appraisal Under Way</t>
  </si>
  <si>
    <t>Loan Documents</t>
  </si>
  <si>
    <t>Desktop Underwriter</t>
  </si>
  <si>
    <t>After review of the DU, have all docs been addressed?</t>
  </si>
  <si>
    <t>Employment History</t>
  </si>
  <si>
    <t>Employed over 2 Years with Current Employer</t>
  </si>
  <si>
    <t>Child Support or Alimony?</t>
  </si>
  <si>
    <t>Child Support / Alimony</t>
  </si>
  <si>
    <t>Credit Report</t>
  </si>
  <si>
    <t>Assets</t>
  </si>
  <si>
    <t>Assets Fully Documented</t>
  </si>
  <si>
    <t>Closing Amount</t>
  </si>
  <si>
    <t>Estimated Close Amount Presented</t>
  </si>
  <si>
    <t>Known Repairs Documented</t>
  </si>
  <si>
    <t>Foreclosure or Short Sale</t>
  </si>
  <si>
    <t>Property Documents</t>
  </si>
  <si>
    <t>Repairs</t>
  </si>
  <si>
    <t>Right of Redemption</t>
  </si>
  <si>
    <t>Home Insurance</t>
  </si>
  <si>
    <t>Member has Home Insurance and Policy is in Portal.</t>
  </si>
  <si>
    <t>Flood Insurance</t>
  </si>
  <si>
    <t>Wind / Hail Insurance</t>
  </si>
  <si>
    <t>Condo</t>
  </si>
  <si>
    <t>Is Property a Condo</t>
  </si>
  <si>
    <t>Termite Inspection</t>
  </si>
  <si>
    <t>Condo Management Company</t>
  </si>
  <si>
    <t>Termite / Wood Destroying Inspection Documented</t>
  </si>
  <si>
    <t>For Sale By Owner</t>
  </si>
  <si>
    <t>Sale By Owner</t>
  </si>
  <si>
    <t>Realtor Contact Information</t>
  </si>
  <si>
    <t>Is Member Using a Realtor</t>
  </si>
  <si>
    <t>Permission to Contact Realtor</t>
  </si>
  <si>
    <t>Document Realtor Contact Information</t>
  </si>
  <si>
    <t>Realtor Phone Call</t>
  </si>
  <si>
    <t xml:space="preserve">ALERT - USAA's relationship with the Realtor is of critical importance.
ACTION - Ask if the MEMBER would like to CONFERENCE in the Realtor so they are fully up to speed on what has just been discussed
</t>
  </si>
  <si>
    <t>Realtor Conference Call Took Place</t>
  </si>
  <si>
    <t>Realtor Relationship Established</t>
  </si>
  <si>
    <t>Monthly Expenses Documented</t>
  </si>
  <si>
    <t>Realtor Call</t>
  </si>
  <si>
    <t>PERSONA TRAIT</t>
  </si>
  <si>
    <t>TRAIT DESCRIPTION</t>
  </si>
  <si>
    <t>WELCOME CALL RESPONSE</t>
  </si>
  <si>
    <t>Dependability</t>
  </si>
  <si>
    <t>Military members are expected to follow through on their word.</t>
  </si>
  <si>
    <t>Member contact (phone or email) should end with:</t>
  </si>
  <si>
    <t>1. Clear presentation of what the action items are.</t>
  </si>
  <si>
    <t>2. Who is responsible; member, processor or joint collaboration.</t>
  </si>
  <si>
    <t>3. When they are due.</t>
  </si>
  <si>
    <t xml:space="preserve">4. When and how the processor will next be in touch.  </t>
  </si>
  <si>
    <t>These expectations must be met and appointments must not be missed.</t>
  </si>
  <si>
    <t>Integrity</t>
  </si>
  <si>
    <t>It’s a serious offense for a member of the military to lie and members are taught to take full responsibility for their actions.</t>
  </si>
  <si>
    <t xml:space="preserve">The processor needs to state regularly that they are going to take notes and share those notes with the member. </t>
  </si>
  <si>
    <t>Decision Making</t>
  </si>
  <si>
    <t>Military members are conditioned to make decisions quickly.</t>
  </si>
  <si>
    <t xml:space="preserve">When the member has a choice to make, they should be presented clearly with options and a summary of pros and cons.  </t>
  </si>
  <si>
    <t>The processor should expect a quick decision to be made and one that should not be questioned beyond ensuring the member has made a well informed choice.</t>
  </si>
  <si>
    <t>Service</t>
  </si>
  <si>
    <t>Camaraderie is huge and military members routinely go the extra mile for others.</t>
  </si>
  <si>
    <t>Tenacity</t>
  </si>
  <si>
    <t>Military members like a good challenge and relish complexity.</t>
  </si>
  <si>
    <t>Initiative</t>
  </si>
  <si>
    <t>Military members are conditioned to complete tasks quickly and with minimal guidance.</t>
  </si>
  <si>
    <t xml:space="preserve">The Welcome Call must lay out clearly what the member can expect in the coming days and weeks as their loan is being processed.  </t>
  </si>
  <si>
    <t>Adaptability</t>
  </si>
  <si>
    <t xml:space="preserve">Military members are accustomed to regular life changing events, as every two to four years they will move their family across the country.  </t>
  </si>
  <si>
    <t>The processor can build rapport by asking where they have been stationed and served in uniform.</t>
  </si>
  <si>
    <t>Professionalism</t>
  </si>
  <si>
    <t>Military members care about their appearance and are trained to make eye contact, walk with good posture, and greet others in passing.</t>
  </si>
  <si>
    <t>The Welcome Call should strike the right balance of being friendly, but to the point and not overly “fluffy”.</t>
  </si>
  <si>
    <t>Best Practices</t>
  </si>
  <si>
    <t>Additionally, when seeking information from the member there are a couple of rules of thumb to follow to put them at ease and make a tedious and sometimes delicate process more friendly and enjoyable.</t>
  </si>
  <si>
    <r>
      <t>The call should end with asking if the processor has answered their questions satisfactorily and if there is anything else they can be of service with and then re-state that their goal at USAA is: “</t>
    </r>
    <r>
      <rPr>
        <i/>
        <u/>
        <sz val="12"/>
        <color rgb="FF000000"/>
        <rFont val="Arial"/>
        <family val="2"/>
      </rPr>
      <t>to go above for those who have gone beyond</t>
    </r>
    <r>
      <rPr>
        <i/>
        <sz val="12"/>
        <color rgb="FF000000"/>
        <rFont val="Arial"/>
        <family val="2"/>
      </rPr>
      <t>”</t>
    </r>
  </si>
  <si>
    <r>
      <t xml:space="preserve">The Welcome Call must clearly demonstrate that </t>
    </r>
    <r>
      <rPr>
        <i/>
        <u/>
        <sz val="12"/>
        <color rgb="FF000000"/>
        <rFont val="Arial"/>
        <family val="2"/>
      </rPr>
      <t>together</t>
    </r>
    <r>
      <rPr>
        <i/>
        <sz val="12"/>
        <color rgb="FF000000"/>
        <rFont val="Arial"/>
        <family val="2"/>
      </rPr>
      <t>, the member and processor will make light work of what can be a complex and time consuming process</t>
    </r>
  </si>
  <si>
    <r>
      <t>1)</t>
    </r>
    <r>
      <rPr>
        <sz val="12"/>
        <color rgb="FF000000"/>
        <rFont val="Times New Roman"/>
        <family val="1"/>
      </rPr>
      <t xml:space="preserve">    </t>
    </r>
    <r>
      <rPr>
        <sz val="12"/>
        <color rgb="FF000000"/>
        <rFont val="Arial"/>
        <family val="2"/>
      </rPr>
      <t>A heartwarming and sincere thank you for their business</t>
    </r>
  </si>
  <si>
    <r>
      <t>2)</t>
    </r>
    <r>
      <rPr>
        <sz val="12"/>
        <color rgb="FF000000"/>
        <rFont val="Times New Roman"/>
        <family val="1"/>
      </rPr>
      <t xml:space="preserve">    </t>
    </r>
    <r>
      <rPr>
        <sz val="12"/>
        <color rgb="FF000000"/>
        <rFont val="Arial"/>
        <family val="2"/>
      </rPr>
      <t>Reassurance that they have made a terrific decision</t>
    </r>
  </si>
  <si>
    <r>
      <t>3)</t>
    </r>
    <r>
      <rPr>
        <sz val="12"/>
        <color rgb="FF000000"/>
        <rFont val="Times New Roman"/>
        <family val="1"/>
      </rPr>
      <t xml:space="preserve">    </t>
    </r>
    <r>
      <rPr>
        <sz val="12"/>
        <color rgb="FF000000"/>
        <rFont val="Arial"/>
        <family val="2"/>
      </rPr>
      <t>A summary of what they have purchased</t>
    </r>
  </si>
  <si>
    <r>
      <t>4)</t>
    </r>
    <r>
      <rPr>
        <sz val="12"/>
        <color rgb="FF000000"/>
        <rFont val="Times New Roman"/>
        <family val="1"/>
      </rPr>
      <t xml:space="preserve">    </t>
    </r>
    <r>
      <rPr>
        <sz val="12"/>
        <color rgb="FF000000"/>
        <rFont val="Arial"/>
        <family val="2"/>
      </rPr>
      <t>Helpful information on what they have purchased and any advantages</t>
    </r>
  </si>
  <si>
    <r>
      <t>5)</t>
    </r>
    <r>
      <rPr>
        <sz val="12"/>
        <color rgb="FF000000"/>
        <rFont val="Times New Roman"/>
        <family val="1"/>
      </rPr>
      <t xml:space="preserve">    </t>
    </r>
    <r>
      <rPr>
        <sz val="12"/>
        <color rgb="FF000000"/>
        <rFont val="Arial"/>
        <family val="2"/>
      </rPr>
      <t>What will happen next</t>
    </r>
  </si>
  <si>
    <r>
      <t>1)</t>
    </r>
    <r>
      <rPr>
        <sz val="12"/>
        <color rgb="FF000000"/>
        <rFont val="Times New Roman"/>
        <family val="1"/>
      </rPr>
      <t xml:space="preserve">    </t>
    </r>
    <r>
      <rPr>
        <sz val="12"/>
        <color rgb="FF000000"/>
        <rFont val="Arial"/>
        <family val="2"/>
      </rPr>
      <t>Use open ended questions to encourage a conversational approach to fact finding.</t>
    </r>
  </si>
  <si>
    <r>
      <t>2)</t>
    </r>
    <r>
      <rPr>
        <sz val="12"/>
        <color rgb="FF000000"/>
        <rFont val="Times New Roman"/>
        <family val="1"/>
      </rPr>
      <t xml:space="preserve">    </t>
    </r>
    <r>
      <rPr>
        <sz val="12"/>
        <color rgb="FF000000"/>
        <rFont val="Arial"/>
        <family val="2"/>
      </rPr>
      <t>Trade Information to put the member at ease, by providing 1 or 2 pieces of positive feedback on information already collected before asking for another.</t>
    </r>
  </si>
  <si>
    <t>Last but not least, enjoy the call and getting to know and serve someone who has served our country.  Smiles can be heard on the phone!</t>
  </si>
  <si>
    <t>Typically, an Intro Call will feature the following 5 elements.</t>
  </si>
  <si>
    <t>Great Intro Calls go beyond simply thanking the member for their business; they should also demonstrate service in action. The Loan Officer has made the “sale”, the Loan Processor will be the one not only fulfilling the loan, but more importantly, fulfilling the USAA brand promise.</t>
  </si>
  <si>
    <t>Service in action is about empathy, walking a mile in the member’s shoes, and tailoring the interactions to their specific needs.  In the next section we discuss the unique traits of a current or former military member and how they impact the Intro Call.</t>
  </si>
  <si>
    <t>Intro Call</t>
  </si>
  <si>
    <t>VA IRRRL</t>
  </si>
  <si>
    <t>Flag</t>
  </si>
  <si>
    <t>N/A</t>
  </si>
  <si>
    <t>SELECT &gt; LOAN PURPOSE</t>
  </si>
  <si>
    <t>SELECT &gt; LOAN TYPE</t>
  </si>
  <si>
    <t>SELECT &gt; REVIEW STAGE</t>
  </si>
  <si>
    <t>Ignore Flags</t>
  </si>
  <si>
    <t>Processor's Entry</t>
  </si>
  <si>
    <t>MEMBER CONVERSATION - ask if the Realtor is familiar with the Member Benefits at USAA?
ASK MEMBER if it is OK to speak to the Realtor on their behalf?</t>
  </si>
  <si>
    <r>
      <t xml:space="preserve">The Intro Call at USAA is where the brand promise of </t>
    </r>
    <r>
      <rPr>
        <b/>
        <i/>
        <sz val="14"/>
        <color theme="3"/>
        <rFont val="Arial"/>
        <family val="2"/>
      </rPr>
      <t xml:space="preserve">“going above for those who have gone beyond” </t>
    </r>
    <r>
      <rPr>
        <sz val="14"/>
        <color rgb="FF000000"/>
        <rFont val="Arial"/>
        <family val="2"/>
      </rPr>
      <t>will be put to the test.</t>
    </r>
  </si>
  <si>
    <t>LOAN TYPE</t>
  </si>
  <si>
    <t>LOAN PURPOSE</t>
  </si>
  <si>
    <t>REVIEW STAGE</t>
  </si>
  <si>
    <t>FLAGGED ITEMS</t>
  </si>
  <si>
    <t>Scrub
List</t>
  </si>
  <si>
    <t>Intro
Call</t>
  </si>
  <si>
    <t>Realtor
Call</t>
  </si>
  <si>
    <t>PRIORITY</t>
  </si>
  <si>
    <t>High</t>
  </si>
  <si>
    <t>Medium</t>
  </si>
  <si>
    <t>Low</t>
  </si>
  <si>
    <t>INCLUDE &gt; FLAGGED ITEMS FOR</t>
  </si>
  <si>
    <t>MY NOTES</t>
  </si>
  <si>
    <t>Monthly Household Expenses</t>
  </si>
  <si>
    <t>Scrub Preparation</t>
  </si>
  <si>
    <t>LO Notes</t>
  </si>
  <si>
    <t>Review Notes from LO</t>
  </si>
  <si>
    <t>Income Statements
MILITARY</t>
  </si>
  <si>
    <t>Income Statements
CIVILIAN</t>
  </si>
  <si>
    <t>Income Statements
SELF EMPLOYED</t>
  </si>
  <si>
    <t>REMIND MEMBER of benefits of VA Loans
-No Down Payment
-No Mortgage Insurance
SHOW MEMBER how their VA Funding Fee is calculated.
INFORM MEMBER the Fee is impacted by
-Loan Type
-Loan Amount
-Down payment
-Member's Military Category</t>
  </si>
  <si>
    <t>Flood Insurance Documented if Property is in Flood Zone</t>
  </si>
  <si>
    <t>Member Informed Wind / Hail Insurance is required</t>
  </si>
  <si>
    <t>ADVISE MEMBER that USAA will be working with the Realtor closely to ensure everything goes smoothly</t>
  </si>
  <si>
    <t>Scrub Prompts</t>
  </si>
  <si>
    <t>Review all LO notes in Cadence to ensure all items that need follow up are idenitifed</t>
  </si>
  <si>
    <t>Confirm the closing date is the date the member wishes to close and fund</t>
  </si>
  <si>
    <t>Confirm the closing date is consistent on documents in the file</t>
  </si>
  <si>
    <t>Is the closing of a prior home needed for funds to close or to qualify for this loan?</t>
  </si>
  <si>
    <t>Check the rate lock date.  Is it possible to close the loan within the lock period?</t>
  </si>
  <si>
    <t>Per regulations, if reviewing interest rate, must also review APR - both must be quoted</t>
  </si>
  <si>
    <t>Check the rate lock date.  Is it possible to close and fund the loan within the lock period? Confirm if in an escrow state and still within lock period</t>
  </si>
  <si>
    <t>Is an extention needed? Confirm that the lock period covers latest funding date (which may be different in an escrow state)</t>
  </si>
  <si>
    <t>What is the total amount of the VA Funding Fee?
Validate the locks in Cadence</t>
  </si>
  <si>
    <t>Determine Princial and Interest pay</t>
  </si>
  <si>
    <t>Determine total PITI amount</t>
  </si>
  <si>
    <t>Monthly households expenses will need to be documented in the file.</t>
  </si>
  <si>
    <t>Required documents needed if unable to locate COE in VA portal</t>
  </si>
  <si>
    <t>Is this a mail away?</t>
  </si>
  <si>
    <t>Need address to mail closing documents</t>
  </si>
  <si>
    <t>Ensure Lock period covers mail away and funding date (different for escrow state closings)</t>
  </si>
  <si>
    <t>If using POA, will need to get approved</t>
  </si>
  <si>
    <t>Has Appraiser made contact with anyone for an appointment to inspect the  property?</t>
  </si>
  <si>
    <t>Need 2 years of employment verified</t>
  </si>
  <si>
    <t>Are pay-offs confirmed?</t>
  </si>
  <si>
    <t>Confirm closing amount needed at closing</t>
  </si>
  <si>
    <t>Are there any repairs that need to be discussed with member?</t>
  </si>
  <si>
    <t>Is this a Foreclosure or Short Sale?</t>
  </si>
  <si>
    <t>Is there a Right of Redemption?</t>
  </si>
  <si>
    <t>Is this a For Sale By Owner?</t>
  </si>
  <si>
    <t>Does the property require Wind / Hall insurance?</t>
  </si>
  <si>
    <t>Has a termite inspection been completed?</t>
  </si>
  <si>
    <t>Confirm Title Contact / Attorney Contact Information (email, phone, fax number, and contact person) is in Cadence</t>
  </si>
  <si>
    <t>Has Title been ordered?
If title has been received, send an email to closer for status if not approved</t>
  </si>
  <si>
    <t>If the property is a condo, additional documents need to be collected</t>
  </si>
  <si>
    <t>Need contact to get documents required</t>
  </si>
  <si>
    <t>Make sure the Condo questionnaire has been ordered.  This can be a time consuming process</t>
  </si>
  <si>
    <t xml:space="preserve">Obtain Realtor contact information so discussions can begin for any items that are needed </t>
  </si>
  <si>
    <t>Make sure the member is comfortable with contact being made</t>
  </si>
  <si>
    <t>Make sure to put any remarks in the "Processor's Entry" column</t>
  </si>
  <si>
    <t>Document the results of the call with the Realtor.  Capture any items for follow up
Document Realtor ID number</t>
  </si>
  <si>
    <t>Create a partnering relationship with the Realtor.  All parties strive for the same end results of closing the loan for the member on time.</t>
  </si>
  <si>
    <t>Call Prompts</t>
  </si>
  <si>
    <t>Legal / Vested Name</t>
  </si>
  <si>
    <t>Member's Legal/Vested Name and Address of Property for the Loan</t>
  </si>
  <si>
    <t xml:space="preserve">Desired Closing Date </t>
  </si>
  <si>
    <t xml:space="preserve">Confirm Sales Contract </t>
  </si>
  <si>
    <t>Credit Report Reviewed</t>
  </si>
  <si>
    <t>Credit Report Reviewed for pay-offs</t>
  </si>
  <si>
    <t>Title Company</t>
  </si>
  <si>
    <t>Title Company Name</t>
  </si>
  <si>
    <t>Title Policy</t>
  </si>
  <si>
    <t>Title Policy approved</t>
  </si>
  <si>
    <t>Additional Condominium documents</t>
  </si>
  <si>
    <t>Intro Call Assistant Instructions</t>
  </si>
  <si>
    <t>Instruction</t>
  </si>
  <si>
    <t>File Opens in "Macros disabled"</t>
  </si>
  <si>
    <t>Click on the Options button at the top and a box will appear</t>
  </si>
  <si>
    <t>Click on the "Enable this Content" option</t>
  </si>
  <si>
    <t>Go to cell "SELECT &gt; LOAN PURPOSE" (2C)  and choose the Loan Purpose (Purchase or Refinance)</t>
  </si>
  <si>
    <t>Go to "SELECT &gt; REVIEW STAGE" (cell 3C) and choose Review Stage (Scrub, Intro Call or Realtor Call)</t>
  </si>
  <si>
    <t>Click the apply button.  The data will reflect the filters chosen in cells 1C-4C</t>
  </si>
  <si>
    <t>To see all data, click the "Show All" button</t>
  </si>
  <si>
    <t>Complete scrub and then click on the Intro call (in the Review Stage) and hit the "Apply" button to filter for items that need to be discussed with the member</t>
  </si>
  <si>
    <t>Check the rate lock date.  Is it possible to close the loan within the lock period?
Per regulations, if reviewing interest rate, must also review APR - both must be quoted</t>
  </si>
  <si>
    <t>Rate Not Locked</t>
  </si>
  <si>
    <t xml:space="preserve">Advise MEMBER they need to lock within 13 days of closing date. When reviewing or confirming interest rate, also review the APR with the member.  </t>
  </si>
  <si>
    <t>Copy of fully executed Sales Contract?
Name of Buyers
Name of Seller(s)
Property address
Sales Price
All pages initiatled
Any addendums?
Fully executed (by all parties)
Earnest Money (EM) amount
Seller concessions amt
Title Co information
Commitment date
Close date
Realtor ID Number (if included, if not-request in Realtor call) and information for both listing and selling agents
Verify MAP agent</t>
  </si>
  <si>
    <t>Is this a Condominium or PUD?  If so, the monthly association dues will be included in the PITI qualifying amount, but collected by the HOA</t>
  </si>
  <si>
    <t>ASK MEMBER if this property is in a Home Owner's Association.
REMIND MEMBER that PITI also includes Homeowners Association fees, but will be collected by the Homeowner Association directly</t>
  </si>
  <si>
    <t>Has Cadence been updated with information on HELOC</t>
  </si>
  <si>
    <t>Home Equity Line of Credit (HELOC)</t>
  </si>
  <si>
    <t>ASK MEMBER if they have any open lines of credit secured by a property.</t>
  </si>
  <si>
    <t>Does the property require Flood Insurance?  If so, will need to have receipt of paid-in-full insurance in place prior to closing.  Must be paid  prior to final approval.</t>
  </si>
  <si>
    <t>Current Address</t>
  </si>
  <si>
    <t>Confirmation of current address and two year history</t>
  </si>
  <si>
    <t>Must cover two years of occupancy history</t>
  </si>
  <si>
    <t>Verify on 1003 if there is applicable child support or alimony income, member is NOT required to include as income.</t>
  </si>
  <si>
    <t>Loan Processor - Targeted Behaviors</t>
  </si>
  <si>
    <t>Answered your questions completely</t>
  </si>
  <si>
    <t>Clearly explained the features of your mortgage</t>
  </si>
  <si>
    <t>Clearly explained the information and documents you needed to provide</t>
  </si>
  <si>
    <t>Provided you with regular updates</t>
  </si>
  <si>
    <t>Loan Processor - Key Drivers</t>
  </si>
  <si>
    <t>Helped you understand the mortgage process</t>
  </si>
  <si>
    <t>Was knowledgeable about USAA's products and services</t>
  </si>
  <si>
    <t>Review all assets and determine is additonal information is needed from member.  Are all assets documented and funds deposited (e.g. gift funds)?</t>
  </si>
  <si>
    <t xml:space="preserve">Verify on 1003 if there is applicable child support or alimony payments.
</t>
  </si>
  <si>
    <t>Child Care</t>
  </si>
  <si>
    <t>Child care statements for children under the age of 13,  if required (VA only)</t>
  </si>
  <si>
    <t>Declaration Questions</t>
  </si>
  <si>
    <t>All Declaration Questions complete on 1003</t>
  </si>
  <si>
    <t>Confirm all declaration questions are answered and complete</t>
  </si>
  <si>
    <t>Go to cell "SELECT &gt; LOAN TYPE" (cell 1C) and choose the loan type (Conventional, VA or VA IRRRL)</t>
  </si>
  <si>
    <t>Go to "INCLUDE &gt; FLAGGED ITEMS FOR" (cell 4C) and choose Flagged items for (Further Review, Intro Call, Realtor Call or Ignore Flags) "Flagged Items" designate how the item is treated.  Further Review - those items that need to be researched or need attention primarily for processing (internal) follow up.  "Intro Call "are those items that will be covered with the member in the Intro Call.  "Realtor Call" are those items that should be covered in the Realtor Call.  Ignore flags - defaults to pull all data based on the other filtering factors.</t>
  </si>
  <si>
    <t>Listened careful to you</t>
  </si>
  <si>
    <t>Kept you informed on the status of your mortgage</t>
  </si>
  <si>
    <t>Treated you as a valued member</t>
  </si>
  <si>
    <t>Conventional</t>
  </si>
  <si>
    <t>Please direct and questions or suggestions for improving this tool to RE_ProcessOwner.</t>
  </si>
  <si>
    <t xml:space="preserve">LO Notes | Review Notes from LO | </t>
  </si>
  <si>
    <t xml:space="preserve">Contact Information | Spoke To / Phone # Called | </t>
  </si>
  <si>
    <t xml:space="preserve">Call Recording | Call Recording Disclosure | </t>
  </si>
  <si>
    <t xml:space="preserve">Member Authentication | Authenticate member in Portal
(Inbound Calls) | </t>
  </si>
  <si>
    <t xml:space="preserve">Call Length | Permission to spend 10-15 minutes with Member | </t>
  </si>
  <si>
    <t xml:space="preserve">Current Address | Confirmation of current address and two year history | </t>
  </si>
  <si>
    <t xml:space="preserve">Application Package | Member received Application Package | </t>
  </si>
  <si>
    <t xml:space="preserve">Occupancy | Verify Occupancy: | </t>
  </si>
  <si>
    <t xml:space="preserve">Cash Out | Enter Purpose of Refinance
- Cash Out, Lower IR, Combine Loans, Home Improvement | </t>
  </si>
  <si>
    <t xml:space="preserve">Close Date | Desired Closing Date  | </t>
  </si>
  <si>
    <t xml:space="preserve">Close Date | Does the close date match the contract | </t>
  </si>
  <si>
    <t xml:space="preserve">Rate &amp; Lock | Is the Rate Locked and Rate Verified with Member? | </t>
  </si>
  <si>
    <t xml:space="preserve">Rate &amp; Lock | Rate Not Locked | </t>
  </si>
  <si>
    <t xml:space="preserve">Rate &amp; Lock | Rate Lock Expiration Date | </t>
  </si>
  <si>
    <t xml:space="preserve">Rate &amp; Lock | Funding Date | </t>
  </si>
  <si>
    <t xml:space="preserve">Rate &amp; Lock | Is a Rate Lock Extension Required | </t>
  </si>
  <si>
    <t xml:space="preserve">Total Loan Amount | Total Loan Amount | </t>
  </si>
  <si>
    <t xml:space="preserve">VA Funding Fee | VA Funding Fee Amount $ | </t>
  </si>
  <si>
    <t xml:space="preserve">VA Funding Fee | VA Funding Fee Form of Payment | </t>
  </si>
  <si>
    <t xml:space="preserve">Certificate of Eligibility (COE) | Is there a COE in Cadence | </t>
  </si>
  <si>
    <t xml:space="preserve">Certificate of Eligibility (COE) | Does member have a COE document | </t>
  </si>
  <si>
    <t xml:space="preserve">Legal / Vested Name | Member's Legal/Vested Name and Address of Property for the Loan | </t>
  </si>
  <si>
    <t xml:space="preserve">Back to Back Sale | Is there another house to sell? | </t>
  </si>
  <si>
    <t xml:space="preserve">Desktop Underwriter | After review of the DU, have all docs been addressed? | </t>
  </si>
  <si>
    <t xml:space="preserve">Employment History | Employed over 2 Years with Current Employer | </t>
  </si>
  <si>
    <t xml:space="preserve">Income | Income Statements
MILITARY | </t>
  </si>
  <si>
    <t xml:space="preserve">Income | Income Statements
CIVILIAN | </t>
  </si>
  <si>
    <t xml:space="preserve">Income | Income Statements
SELF EMPLOYED | </t>
  </si>
  <si>
    <t xml:space="preserve">Child Support / Alimony | Child Support or Alimony? | </t>
  </si>
  <si>
    <t xml:space="preserve">Assets | Assets Fully Documented | </t>
  </si>
  <si>
    <t xml:space="preserve">Credit Report | Credit Report Reviewed | </t>
  </si>
  <si>
    <t xml:space="preserve">Credit Report | Credit Report Reviewed for pay-offs | </t>
  </si>
  <si>
    <t xml:space="preserve">Child Support / Alimony | Child Care | </t>
  </si>
  <si>
    <t xml:space="preserve">Subordinate Financing | Subordinate Financing Amount | </t>
  </si>
  <si>
    <t xml:space="preserve">Home Equity Line of Credit (HELOC) | Has Cadence been updated with information on HELOC | </t>
  </si>
  <si>
    <t xml:space="preserve">Permanent Change of Station | If a PCS, enter Location and Orders Received | </t>
  </si>
  <si>
    <t xml:space="preserve">Sales Price | Confirm Sales Contract  | </t>
  </si>
  <si>
    <t xml:space="preserve">Mail Away | Mail Away? | </t>
  </si>
  <si>
    <t xml:space="preserve">Mail Away | Mail Away Address | </t>
  </si>
  <si>
    <t xml:space="preserve">Mail Away | Is Lock Extension required due to Mail Away Timeframe | </t>
  </si>
  <si>
    <t xml:space="preserve">Power of Attorney | Power of Attorney (POA) | </t>
  </si>
  <si>
    <t xml:space="preserve">Non Purchasing / Borrowing Spouse | Non-Purchasing/Borrowing Spouse | </t>
  </si>
  <si>
    <t xml:space="preserve">PITI | P &amp; I Amount | </t>
  </si>
  <si>
    <t xml:space="preserve">PITI | PITI Amount | </t>
  </si>
  <si>
    <t xml:space="preserve">Home Owner's Association Fees | Home Owner's Association Fee Amount | </t>
  </si>
  <si>
    <t xml:space="preserve">Monthly Household Expenses | Monthly Expenses Documented | </t>
  </si>
  <si>
    <t xml:space="preserve">Closing Amount | Estimated Close Amount Presented | </t>
  </si>
  <si>
    <t xml:space="preserve">Declaration Questions | All Declaration Questions complete on 1003 | </t>
  </si>
  <si>
    <t xml:space="preserve">Appraisal Ordered | Appraisal Ordered | </t>
  </si>
  <si>
    <t xml:space="preserve">Appraisal Under Way | Member contacted by Appraiser | </t>
  </si>
  <si>
    <t xml:space="preserve">Repairs | Known Repairs Documented | </t>
  </si>
  <si>
    <t xml:space="preserve">Foreclosure or Short Sale | Foreclosure or Short Sale | </t>
  </si>
  <si>
    <t xml:space="preserve">Right of Redemption | Right of Redemption | </t>
  </si>
  <si>
    <t xml:space="preserve">For Sale By Owner | Sale By Owner | </t>
  </si>
  <si>
    <t xml:space="preserve">Home Insurance | Member has Home Insurance and Policy is in Portal. | </t>
  </si>
  <si>
    <t xml:space="preserve">Flood Insurance | Flood Insurance Documented if Property is in Flood Zone | </t>
  </si>
  <si>
    <t xml:space="preserve">Wind / Hail Insurance | Member Informed Wind / Hail Insurance is required | </t>
  </si>
  <si>
    <t xml:space="preserve">Termite Inspection | Termite / Wood Destroying Inspection Documented | </t>
  </si>
  <si>
    <t xml:space="preserve">Title Company | Title Company Name | </t>
  </si>
  <si>
    <t xml:space="preserve">Title Policy | Title Policy approved | </t>
  </si>
  <si>
    <t xml:space="preserve">Condo | Is Property a Condo | </t>
  </si>
  <si>
    <t xml:space="preserve">Condo Management Company | Management Company Name and Contact Documented | </t>
  </si>
  <si>
    <t xml:space="preserve">Condo | Additional Condominium documents | </t>
  </si>
  <si>
    <t xml:space="preserve">Trust | Trust Involved | </t>
  </si>
  <si>
    <t xml:space="preserve">Realtor Contact Information | Is Member Using a Realtor | </t>
  </si>
  <si>
    <t>Rows</t>
  </si>
  <si>
    <t>Hit List</t>
  </si>
  <si>
    <t xml:space="preserve">NMLS # | Provide NMLS # | </t>
  </si>
  <si>
    <t>Candidates</t>
  </si>
  <si>
    <t xml:space="preserve">Realtor Phone Call | Realtor Relationship Established | </t>
  </si>
  <si>
    <t xml:space="preserve">Realtor Contact Information | Permission to Contact Realtor | </t>
  </si>
  <si>
    <t xml:space="preserve">Realtor Contact Information | Document Realtor Contact Information | </t>
  </si>
  <si>
    <t xml:space="preserve">Realtor Phone Call | Realtor Conference Call Took Place | </t>
  </si>
  <si>
    <t>Property Details</t>
  </si>
  <si>
    <t>Private Road
Well / Septic</t>
  </si>
  <si>
    <t>Confirm if property is on priviate road.
Determine if property has well and/or septic.</t>
  </si>
  <si>
    <t>Rental Income</t>
  </si>
  <si>
    <t>Need 2 years of tax returns reflecting the income.
Refer to credit guidelines for questions.</t>
  </si>
  <si>
    <t>Authenticate member in Portal</t>
  </si>
  <si>
    <t xml:space="preserve">Property Details | Private Road; Well/Septic | </t>
  </si>
  <si>
    <t xml:space="preserve">Income | Rental Income | </t>
  </si>
  <si>
    <t>Confirm that new monthly payments are not greater than a 20% increase over current monthly payment
If increased payment exceeds 20%, treat as a regular VA refinance.</t>
  </si>
  <si>
    <t>Monthly Payment Increase</t>
  </si>
  <si>
    <t>How is the VA Funding Fee to be paid? 
USAA pays funding fee on VA IRRRL.</t>
  </si>
  <si>
    <t xml:space="preserve">Review the Credit Report for any items that need to be discussed with the member
Review all liabilities
Verify that all inquiries within the last 120 days have been addressed with a comment.  If there are newly established liabilities, a supplemental credit report is required
Review Public Records
Safescan (Fraud Alerts)?  If not, request from credit agency.
Ensure new credit inquiries are addressed.
Review monthly payments for student loans to determine if credit update is required.
Document credit disputes.
VA IRRRL member may not have any late payments on existing mortgage in last twelve months.
</t>
  </si>
  <si>
    <t>Is the home used as collateral for any credit or liens?
VA IRRRL will need to re-subordinate if applicable.</t>
  </si>
  <si>
    <t>VA IRRRL will need to re-subordinate if applicable.</t>
  </si>
  <si>
    <t xml:space="preserve">VA IRRRL | Monthly Payment Increase | </t>
  </si>
  <si>
    <t>Verify Occupancy</t>
  </si>
  <si>
    <t>Has it been ordered?
Ensure that processor's name is entered as point of contact (POC) in WebLGY/Real EC as appropriate.</t>
  </si>
  <si>
    <t>Item Completed</t>
  </si>
  <si>
    <t>Still Needed</t>
  </si>
  <si>
    <t>Complete</t>
  </si>
  <si>
    <t>ALL MACROS MUST BE ENABLED FOR THIS TOOL TO WORK PROPERLY!</t>
  </si>
  <si>
    <t>Instructions to enable macros:</t>
  </si>
  <si>
    <t>1. Click on the 'Options…' button on the 'Security Warning' notification above. See below:</t>
  </si>
  <si>
    <t>2. Select the 'Enable this content' option from the Security Alert pop-up and click 'OK'. See below:</t>
  </si>
  <si>
    <t>INFORM MEMBER of your NMLS number and that you are a registered and reputable mortgage professional.
DIRECT MEMBER to www.nmlsconsumeraccess.org for more information.</t>
  </si>
  <si>
    <t>ASK MEMBER if this is the best number to reach them.</t>
  </si>
  <si>
    <t>INFORM MEMBER that this call and all calls going forward may be recorded for quality assurance purposes.</t>
  </si>
  <si>
    <t>Confirm rank
Tip: Addressing member by rank builds rapport and respect.</t>
  </si>
  <si>
    <t>Tip: Advise member of your average intro call time frame.</t>
  </si>
  <si>
    <t>ASK MEMBER if this is a good time to go over their loan application.</t>
  </si>
  <si>
    <t>MEMBER CONVERSATION - Ask if they are excited to be moving.
ASK MEMBER for their most recent two years occupancy history.</t>
  </si>
  <si>
    <t>ADVISE MEMBER that there is a wealth of information contained within the application package.</t>
  </si>
  <si>
    <t>MEMBER CONVERSATION - Are you a first time home buyer? What do you like about your new home? 
ASK MEMBER Will this property be your primary residence?</t>
  </si>
  <si>
    <t>ASK MEMBER - What is the main goal for refinancing at this time? 
If the member plans to take cash out, ASK MEMBER - Will the cash out be used for home improvements?</t>
  </si>
  <si>
    <t>ASK MEMBER to confirm their desired close date.</t>
  </si>
  <si>
    <t xml:space="preserve">
INFORM MEMBER of their current rate and APR.</t>
  </si>
  <si>
    <t>INFORM MEMBER of their lock expiration date.
MEMBER CONVERSATION - Assure member that the Rate Lock Expiration Date is good through the Funding Date.</t>
  </si>
  <si>
    <t xml:space="preserve">INFORM MEMBER that you will request a Rate Lock extension. Review the new expiration date and the cost to extend the rate. </t>
  </si>
  <si>
    <t>INFORM MEMBER of their loan amount.</t>
  </si>
  <si>
    <t>ASK MEMBER - how would you like to pay the VA Funding Fee? 
ADVISE MEMBER on options
-Financed
-Paid at Closing
-Split between the two</t>
  </si>
  <si>
    <t>Will need to have a Certificate of Eligibiilty in Cadence.  If not in the file, can pull from VA WebLGY.  If not in WebLGY, will need to get from member or additional documents to order from VA WebLGY.</t>
  </si>
  <si>
    <t>Confirm legal name/vesting 
Tip: This will elimate closing delays.</t>
  </si>
  <si>
    <t>ASK MEMBER to confirm their legal name and the address of the property.</t>
  </si>
  <si>
    <t>ASK MEMBER - Will you be using net proceeds from the sale of the home to pay your expenses at closing?
What is the close date? Does the member anticipate any issues with closing?</t>
  </si>
  <si>
    <t xml:space="preserve">ASK MEMBER how long they have been employed with their currnet employer. If less than 2 years, we need employment history to cover a full 2 years. </t>
  </si>
  <si>
    <t>ASK MEMBER for income information
LES dated within 90 days of close date + Source any allotments</t>
  </si>
  <si>
    <t>ASK MEMBER for income information
Paystubs within last 30 days with YTD earnings + W-2</t>
  </si>
  <si>
    <t>ASK MEMBER for income information
2 Years of Tax Returns including all attachments and schedules.</t>
  </si>
  <si>
    <t>ASK MEMBER for income information
Copy of divorce decree and documentation for continuance for minimum of 3 years.</t>
  </si>
  <si>
    <t>ASK MEMBER for a copy of their bank statements and if there are any large deposits or transfers (over 50% of their gross monthly income.)</t>
  </si>
  <si>
    <t>ASK MEMBER to provide a copy of final divorce decree or court order; first page, all pertinent pages pertaining to the child support/alimony payments, and page with judge's signature or recorded stamp to verify child support/alimony payments and its terms.</t>
  </si>
  <si>
    <t xml:space="preserve">ASK MEMBER to provide a signed and dated letter stating amount of child care expenses or lack thereof.  </t>
  </si>
  <si>
    <t>ASK MEMBER if they have any loans, lines of credit or liens where they have used their home as collateral.</t>
  </si>
  <si>
    <t>THANK MEMBER for their service.
ASK MEMBER if they are excited about the move and for a copy of their PCS orders.
PCS - Permanent Change of Station</t>
  </si>
  <si>
    <t>ASK MEMBER to confirm the sales price and to provide any additional addendums/amendments.</t>
  </si>
  <si>
    <t>ASK MEMBER if they will be present in person on closing day? 
Will the seller be available at closing?</t>
  </si>
  <si>
    <t xml:space="preserve">ASK MEMBER if any party will be using a Power of Attorney (POA) for the closing.
If yes, ASK MEMBER for a copy of the POA for approval by USAA and Title Company/Attorney's Office </t>
  </si>
  <si>
    <t>ASK MEMBER if there is a spouse that is not on the loan.
INFORM MEMBER that their spouse must be present at closing, despite not being listed as a co-borrower</t>
  </si>
  <si>
    <t>INFORM MEMBER the definition of P &amp; I. 
-Principal
-Interest</t>
  </si>
  <si>
    <t>REMIND MEMBER that PITI is an estimated amount and will be confirmed at closing.
-Principal
-Interest
-Taxes
-Insurance</t>
  </si>
  <si>
    <t>ASK MEMBER about their monthly expenses
- Electric / Water / Gas / Sewer etc.</t>
  </si>
  <si>
    <t xml:space="preserve">INFOM MEMBER of the estimated closing amount </t>
  </si>
  <si>
    <t>MEMBER CONVERSATION: Ask any outstanding questions</t>
  </si>
  <si>
    <t>MEMBER CONVERSATION - have you received a call from the appraiser?</t>
  </si>
  <si>
    <t>ASK MEMBER if there are any repairs that theyare already aware of.  
INFORM MEMBER any repairs required by the appraiser will need to be completed prior to receiving CTC on the loan.</t>
  </si>
  <si>
    <t>ASK MEMBER if the property is located on a private road or if it has a well and/or septic system.</t>
  </si>
  <si>
    <t>ASK MEMBER if the property is a foreclosure or short sale.</t>
  </si>
  <si>
    <t>ASK MEMBER if there is a right of redemption.</t>
  </si>
  <si>
    <t>ASK MEMBER if the property was for sale by owner.</t>
  </si>
  <si>
    <t>MEMBER CONVERSATION - USAA cares that they have made all the right precautions when purchasing the home and will now ask questions about the property and insurance levels.
ASK MEMBER if they plan on obtaining USAA insurance.
If NO - sell benefits of USAA Insurance and setup callback from USAA Insurance Agent at a time of their choosing.</t>
  </si>
  <si>
    <t>MEMBER CONVERSATION - USAA cares that they have made all the right precautions when purchasing the home and will now ask questions about the property and insurance levels.
ASK MEMBER if they plan on obtaining USAA insurance.
IF NO - sell benefits of USAA Insurance and setup callback from USAA Insurance Agent at a time of their choosing.
INFORM MEMBER that USAA requires all taxes and insurance to be escrowed and the flood insurance must be paid prior to final approval.</t>
  </si>
  <si>
    <t>ASK MEMBER if a termite inspection (or Wood Destroying  Inspection Report) has been completed on the property.</t>
  </si>
  <si>
    <t>If title information is missing/incomplete, ASK MEMBER for title company contact information.</t>
  </si>
  <si>
    <t>ASK MEMBER to confirm if the property is a condo or not.</t>
  </si>
  <si>
    <t>ASK MEMBER for information on the Condo Management Company.
DISCUSS interior coverage.
DISCUSS the need to obtain condo questionnaire (conventional), condo ID (VA) and master insurance policy.</t>
  </si>
  <si>
    <t>Condo Management Company Name and Contact Documented</t>
  </si>
  <si>
    <t>CALL REALTOR - thank them for helping them find a great home.
REALTOR CONVERSATION - Remind the Realtor that your goal is to "go above for those that have gone beyond", you will go the extra mile to make sure this deal goes smoothly.
GAIN REALTOR'S TRUST - go through the items on this list flagged "Realtor" - speak their language and allay any fears they have of the loan not going through or the close date being missed.</t>
  </si>
  <si>
    <r>
      <t xml:space="preserve">&gt; </t>
    </r>
    <r>
      <rPr>
        <b/>
        <sz val="11"/>
        <color theme="1"/>
        <rFont val="Calibri"/>
        <family val="2"/>
        <scheme val="minor"/>
      </rPr>
      <t xml:space="preserve">1003 &gt;Section V &gt; Combined Monthly Housing Expense &gt; “Other” field. </t>
    </r>
    <r>
      <rPr>
        <sz val="11"/>
        <color rgb="FFFF0000"/>
        <rFont val="Calibri"/>
        <family val="2"/>
        <scheme val="minor"/>
      </rPr>
      <t/>
    </r>
  </si>
  <si>
    <t>Verify this property will be their primary residence.</t>
  </si>
  <si>
    <t>Status</t>
  </si>
  <si>
    <t>origScrub</t>
  </si>
  <si>
    <t>origIntro</t>
  </si>
  <si>
    <t>origRealtor</t>
  </si>
  <si>
    <t>NOIA</t>
  </si>
  <si>
    <t>Verify NOIA expiration date</t>
  </si>
  <si>
    <t>Verify the current NOIA expiration date on file.</t>
  </si>
  <si>
    <t>INFORM MEMBER all documents are needed prior to the NOIA expiration date.</t>
  </si>
  <si>
    <t>&gt;USAA Fulfillment Dates
&gt;Processor tab
&gt;NOIA expiration</t>
  </si>
  <si>
    <t>If closing in a trust, the trust &amp; subject property must meet specific guideline requirements; trust documentation will need to be provided for review and approval.</t>
  </si>
  <si>
    <t>ASK MEMBER if there is a trust involved in the transaction.
MEMBER CONVERSATION - If NO, no documentation required; proceed to the next step.
IF YES - advise member that trust documentation will need to be provided for review and approval.</t>
  </si>
  <si>
    <t>displayRow</t>
  </si>
  <si>
    <t>displayRow (LoanType)</t>
  </si>
  <si>
    <t>displayRow (LoanPurpose)</t>
  </si>
  <si>
    <t>displayRowFinal</t>
  </si>
</sst>
</file>

<file path=xl/styles.xml><?xml version="1.0" encoding="utf-8"?>
<styleSheet xmlns="http://schemas.openxmlformats.org/spreadsheetml/2006/main">
  <numFmts count="3">
    <numFmt numFmtId="44" formatCode="_(&quot;$&quot;* #,##0.00_);_(&quot;$&quot;* \(#,##0.00\);_(&quot;$&quot;* &quot;-&quot;??_);_(@_)"/>
    <numFmt numFmtId="164" formatCode="0.000%"/>
    <numFmt numFmtId="165" formatCode="&quot;$&quot;#,##0.00"/>
  </numFmts>
  <fonts count="50">
    <font>
      <sz val="12"/>
      <color theme="1"/>
      <name val="Calibri"/>
      <family val="2"/>
      <scheme val="minor"/>
    </font>
    <font>
      <sz val="11"/>
      <color theme="1"/>
      <name val="Calibri"/>
      <family val="2"/>
      <scheme val="minor"/>
    </font>
    <font>
      <sz val="11"/>
      <color theme="1"/>
      <name val="Calibri"/>
      <family val="2"/>
      <scheme val="minor"/>
    </font>
    <font>
      <b/>
      <sz val="12"/>
      <color theme="0"/>
      <name val="Calibri"/>
      <family val="2"/>
      <scheme val="minor"/>
    </font>
    <font>
      <b/>
      <sz val="12"/>
      <color theme="1"/>
      <name val="Calibri"/>
      <family val="2"/>
      <scheme val="minor"/>
    </font>
    <font>
      <sz val="11"/>
      <color theme="1"/>
      <name val="Calibri"/>
      <family val="2"/>
      <scheme val="minor"/>
    </font>
    <font>
      <b/>
      <sz val="11"/>
      <color rgb="FF00B050"/>
      <name val="Calibri"/>
      <family val="2"/>
      <scheme val="minor"/>
    </font>
    <font>
      <sz val="11"/>
      <color rgb="FFFF0000"/>
      <name val="Calibri"/>
      <family val="2"/>
      <scheme val="minor"/>
    </font>
    <font>
      <b/>
      <sz val="11"/>
      <color theme="1"/>
      <name val="Calibri"/>
      <family val="2"/>
      <scheme val="minor"/>
    </font>
    <font>
      <b/>
      <i/>
      <sz val="11"/>
      <color theme="1"/>
      <name val="Calibri"/>
      <family val="2"/>
      <scheme val="minor"/>
    </font>
    <font>
      <u/>
      <sz val="11"/>
      <color theme="10"/>
      <name val="Calibri"/>
      <family val="2"/>
    </font>
    <font>
      <u/>
      <sz val="11"/>
      <name val="Calibri"/>
      <family val="2"/>
    </font>
    <font>
      <b/>
      <sz val="11"/>
      <color rgb="FF000000"/>
      <name val="Cambria"/>
      <family val="1"/>
    </font>
    <font>
      <sz val="11"/>
      <color theme="1"/>
      <name val="Wingdings"/>
      <charset val="2"/>
    </font>
    <font>
      <b/>
      <i/>
      <sz val="11"/>
      <color rgb="FF000000"/>
      <name val="Cambria"/>
      <family val="1"/>
    </font>
    <font>
      <sz val="11"/>
      <name val="Calibri"/>
      <family val="2"/>
    </font>
    <font>
      <sz val="12"/>
      <color rgb="FFFF0000"/>
      <name val="Helvetica"/>
    </font>
    <font>
      <sz val="12"/>
      <color rgb="FF000000"/>
      <name val="Arial"/>
      <family val="2"/>
    </font>
    <font>
      <b/>
      <sz val="12"/>
      <color rgb="FF000000"/>
      <name val="Arial"/>
      <family val="2"/>
    </font>
    <font>
      <i/>
      <sz val="12"/>
      <color rgb="FF000000"/>
      <name val="Arial"/>
      <family val="2"/>
    </font>
    <font>
      <b/>
      <i/>
      <u/>
      <sz val="12"/>
      <color rgb="FF000000"/>
      <name val="Arial"/>
      <family val="2"/>
    </font>
    <font>
      <b/>
      <sz val="12"/>
      <color theme="0"/>
      <name val="Arial"/>
      <family val="2"/>
    </font>
    <font>
      <b/>
      <i/>
      <sz val="12"/>
      <color theme="0"/>
      <name val="Arial"/>
      <family val="2"/>
    </font>
    <font>
      <i/>
      <u/>
      <sz val="12"/>
      <color rgb="FF000000"/>
      <name val="Arial"/>
      <family val="2"/>
    </font>
    <font>
      <sz val="12"/>
      <color rgb="FF000000"/>
      <name val="Times New Roman"/>
      <family val="1"/>
    </font>
    <font>
      <sz val="12"/>
      <color rgb="FF000000"/>
      <name val="Helvetica"/>
    </font>
    <font>
      <sz val="8"/>
      <name val="Calibri"/>
      <family val="2"/>
      <scheme val="minor"/>
    </font>
    <font>
      <sz val="14"/>
      <color rgb="FF000000"/>
      <name val="Arial"/>
      <family val="2"/>
    </font>
    <font>
      <b/>
      <i/>
      <sz val="14"/>
      <color theme="3"/>
      <name val="Arial"/>
      <family val="2"/>
    </font>
    <font>
      <b/>
      <u/>
      <sz val="12"/>
      <color theme="1"/>
      <name val="Calibri"/>
      <family val="2"/>
      <scheme val="minor"/>
    </font>
    <font>
      <b/>
      <u/>
      <sz val="14"/>
      <color theme="1"/>
      <name val="Calibri"/>
      <family val="2"/>
      <scheme val="minor"/>
    </font>
    <font>
      <u/>
      <sz val="12"/>
      <color theme="11"/>
      <name val="Calibri"/>
      <family val="2"/>
      <scheme val="minor"/>
    </font>
    <font>
      <sz val="16"/>
      <color rgb="FF000000"/>
      <name val="Calibri"/>
      <family val="2"/>
      <scheme val="minor"/>
    </font>
    <font>
      <sz val="11"/>
      <color rgb="FFFFFFFF"/>
      <name val="Calibri"/>
      <family val="2"/>
      <scheme val="minor"/>
    </font>
    <font>
      <sz val="11"/>
      <color rgb="FF000000"/>
      <name val="Calibri"/>
      <family val="2"/>
      <scheme val="minor"/>
    </font>
    <font>
      <b/>
      <sz val="10"/>
      <color indexed="81"/>
      <name val="Calibri"/>
      <family val="2"/>
    </font>
    <font>
      <sz val="10"/>
      <color indexed="81"/>
      <name val="Calibri"/>
      <family val="2"/>
    </font>
    <font>
      <b/>
      <i/>
      <u/>
      <sz val="12"/>
      <color rgb="FF000000"/>
      <name val="Arial"/>
      <family val="2"/>
    </font>
    <font>
      <sz val="12"/>
      <color rgb="FF000000"/>
      <name val="Arial"/>
      <family val="2"/>
    </font>
    <font>
      <sz val="18"/>
      <color theme="1"/>
      <name val="Calibri"/>
      <family val="2"/>
      <scheme val="minor"/>
    </font>
    <font>
      <sz val="20"/>
      <color theme="1"/>
      <name val="Calibri"/>
      <family val="2"/>
      <scheme val="minor"/>
    </font>
    <font>
      <sz val="12"/>
      <color rgb="FF000000"/>
      <name val="Calibri"/>
      <family val="2"/>
      <scheme val="minor"/>
    </font>
    <font>
      <sz val="12"/>
      <color indexed="12"/>
      <name val="Helvetica"/>
    </font>
    <font>
      <b/>
      <sz val="12"/>
      <color indexed="10"/>
      <name val="Calibri"/>
      <family val="2"/>
      <scheme val="minor"/>
    </font>
    <font>
      <b/>
      <sz val="24"/>
      <color theme="1"/>
      <name val="Calibri"/>
      <family val="2"/>
      <scheme val="minor"/>
    </font>
    <font>
      <u/>
      <sz val="10"/>
      <color indexed="12"/>
      <name val="Arial"/>
      <family val="2"/>
    </font>
    <font>
      <sz val="10"/>
      <name val="Arial"/>
      <family val="2"/>
    </font>
    <font>
      <sz val="12"/>
      <color theme="1"/>
      <name val="Calibri"/>
      <family val="2"/>
      <scheme val="minor"/>
    </font>
    <font>
      <sz val="11"/>
      <color theme="0"/>
      <name val="Calibri"/>
      <family val="2"/>
      <scheme val="minor"/>
    </font>
    <font>
      <sz val="12"/>
      <color rgb="FF00B050"/>
      <name val="Calibri"/>
      <family val="2"/>
      <scheme val="minor"/>
    </font>
  </fonts>
  <fills count="8">
    <fill>
      <patternFill patternType="none"/>
    </fill>
    <fill>
      <patternFill patternType="gray125"/>
    </fill>
    <fill>
      <patternFill patternType="solid">
        <fgColor theme="3"/>
        <bgColor indexed="64"/>
      </patternFill>
    </fill>
    <fill>
      <patternFill patternType="solid">
        <fgColor theme="4" tint="0.799981688894314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17375D"/>
        <bgColor indexed="64"/>
      </patternFill>
    </fill>
    <fill>
      <patternFill patternType="solid">
        <fgColor theme="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rgb="FFB4C6E7"/>
      </left>
      <right style="medium">
        <color rgb="FFB4C6E7"/>
      </right>
      <top style="medium">
        <color rgb="FFB4C6E7"/>
      </top>
      <bottom style="thick">
        <color rgb="FF8EAADB"/>
      </bottom>
      <diagonal/>
    </border>
    <border>
      <left/>
      <right style="medium">
        <color rgb="FFB4C6E7"/>
      </right>
      <top style="medium">
        <color rgb="FFB4C6E7"/>
      </top>
      <bottom style="thick">
        <color rgb="FF8EAADB"/>
      </bottom>
      <diagonal/>
    </border>
    <border>
      <left style="medium">
        <color rgb="FFB4C6E7"/>
      </left>
      <right style="medium">
        <color rgb="FFB4C6E7"/>
      </right>
      <top/>
      <bottom style="medium">
        <color rgb="FFB4C6E7"/>
      </bottom>
      <diagonal/>
    </border>
    <border>
      <left style="medium">
        <color rgb="FFB4C6E7"/>
      </left>
      <right style="medium">
        <color rgb="FFB4C6E7"/>
      </right>
      <top/>
      <bottom/>
      <diagonal/>
    </border>
    <border>
      <left/>
      <right style="medium">
        <color rgb="FFB4C6E7"/>
      </right>
      <top/>
      <bottom style="medium">
        <color rgb="FFB4C6E7"/>
      </bottom>
      <diagonal/>
    </border>
    <border>
      <left/>
      <right style="medium">
        <color rgb="FFB4C6E7"/>
      </right>
      <top/>
      <bottom/>
      <diagonal/>
    </border>
    <border>
      <left style="medium">
        <color rgb="FFB4C6E7"/>
      </left>
      <right style="medium">
        <color rgb="FFB4C6E7"/>
      </right>
      <top style="thick">
        <color rgb="FF8EAADB"/>
      </top>
      <bottom/>
      <diagonal/>
    </border>
    <border>
      <left style="medium">
        <color rgb="FFB4C6E7"/>
      </left>
      <right style="medium">
        <color rgb="FFB4C6E7"/>
      </right>
      <top style="medium">
        <color rgb="FFB4C6E7"/>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hair">
        <color auto="1"/>
      </left>
      <right style="hair">
        <color auto="1"/>
      </right>
      <top style="hair">
        <color auto="1"/>
      </top>
      <bottom style="hair">
        <color auto="1"/>
      </bottom>
      <diagonal/>
    </border>
    <border>
      <left/>
      <right style="medium">
        <color rgb="FF1F497D"/>
      </right>
      <top style="medium">
        <color rgb="FF1F497D"/>
      </top>
      <bottom style="medium">
        <color rgb="FF1F497D"/>
      </bottom>
      <diagonal/>
    </border>
    <border>
      <left/>
      <right style="medium">
        <color auto="1"/>
      </right>
      <top/>
      <bottom style="medium">
        <color auto="1"/>
      </bottom>
      <diagonal/>
    </border>
    <border>
      <left/>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s>
  <cellStyleXfs count="14">
    <xf numFmtId="0" fontId="0" fillId="0" borderId="0"/>
    <xf numFmtId="0" fontId="5" fillId="0" borderId="0"/>
    <xf numFmtId="0" fontId="15" fillId="0" borderId="0"/>
    <xf numFmtId="0" fontId="15" fillId="0" borderId="0"/>
    <xf numFmtId="0" fontId="15" fillId="0" borderId="0"/>
    <xf numFmtId="0" fontId="15" fillId="0" borderId="0"/>
    <xf numFmtId="0" fontId="31" fillId="0" borderId="0" applyNumberFormat="0" applyFill="0" applyBorder="0" applyAlignment="0" applyProtection="0"/>
    <xf numFmtId="0" fontId="1" fillId="0" borderId="0"/>
    <xf numFmtId="44" fontId="1" fillId="0" borderId="0" applyFont="0" applyFill="0" applyBorder="0" applyAlignment="0" applyProtection="0"/>
    <xf numFmtId="0" fontId="45"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46" fillId="0" borderId="0"/>
    <xf numFmtId="0" fontId="1" fillId="0" borderId="0"/>
    <xf numFmtId="0" fontId="1" fillId="0" borderId="0"/>
  </cellStyleXfs>
  <cellXfs count="88">
    <xf numFmtId="0" fontId="0" fillId="0" borderId="0" xfId="0"/>
    <xf numFmtId="0" fontId="20" fillId="0" borderId="0" xfId="0" applyFont="1" applyBorder="1" applyAlignment="1">
      <alignment horizontal="justify" vertical="center"/>
    </xf>
    <xf numFmtId="0" fontId="0" fillId="0" borderId="0" xfId="0" applyFont="1" applyBorder="1"/>
    <xf numFmtId="0" fontId="17" fillId="0" borderId="0" xfId="0" applyFont="1" applyBorder="1" applyAlignment="1">
      <alignment horizontal="justify" vertical="center"/>
    </xf>
    <xf numFmtId="0" fontId="21" fillId="2" borderId="2" xfId="0" applyFont="1" applyFill="1" applyBorder="1" applyAlignment="1">
      <alignment horizontal="center" vertical="center" wrapText="1"/>
    </xf>
    <xf numFmtId="0" fontId="21" fillId="2" borderId="3" xfId="0" applyFont="1" applyFill="1" applyBorder="1" applyAlignment="1">
      <alignment horizontal="center" vertical="center" wrapText="1"/>
    </xf>
    <xf numFmtId="0" fontId="22" fillId="2" borderId="3" xfId="0" applyFont="1" applyFill="1" applyBorder="1" applyAlignment="1">
      <alignment horizontal="center" vertical="center" wrapText="1"/>
    </xf>
    <xf numFmtId="0" fontId="0" fillId="0" borderId="0" xfId="0" applyFont="1" applyAlignment="1">
      <alignment horizontal="center" vertical="center" wrapText="1"/>
    </xf>
    <xf numFmtId="0" fontId="19" fillId="0" borderId="7" xfId="0" applyFont="1" applyBorder="1" applyAlignment="1">
      <alignment horizontal="center" vertical="center" wrapText="1"/>
    </xf>
    <xf numFmtId="0" fontId="19" fillId="0" borderId="6" xfId="0" applyFont="1" applyBorder="1" applyAlignment="1">
      <alignment horizontal="center" vertical="center" wrapText="1"/>
    </xf>
    <xf numFmtId="0" fontId="18" fillId="0" borderId="4" xfId="0" applyFont="1" applyBorder="1" applyAlignment="1">
      <alignment horizontal="center" vertical="center" wrapText="1"/>
    </xf>
    <xf numFmtId="0" fontId="17" fillId="0" borderId="6" xfId="0" applyFont="1" applyBorder="1" applyAlignment="1">
      <alignment horizontal="center" vertical="center" wrapText="1"/>
    </xf>
    <xf numFmtId="14" fontId="0" fillId="3" borderId="1" xfId="0" applyNumberFormat="1" applyFill="1" applyBorder="1" applyAlignment="1" applyProtection="1">
      <alignment horizontal="center" vertical="center" wrapText="1"/>
      <protection locked="0"/>
    </xf>
    <xf numFmtId="14" fontId="0" fillId="0" borderId="0" xfId="0" applyNumberFormat="1" applyAlignment="1" applyProtection="1">
      <alignment horizontal="center" vertical="center" wrapText="1"/>
      <protection locked="0"/>
    </xf>
    <xf numFmtId="0" fontId="0" fillId="0" borderId="0" xfId="0" applyNumberFormat="1" applyAlignment="1" applyProtection="1">
      <alignment horizontal="center" vertical="center" wrapText="1"/>
      <protection locked="0"/>
    </xf>
    <xf numFmtId="14" fontId="0" fillId="0" borderId="0" xfId="0" applyNumberFormat="1" applyFill="1" applyAlignment="1" applyProtection="1">
      <alignment horizontal="center" vertical="center" wrapText="1"/>
      <protection locked="0"/>
    </xf>
    <xf numFmtId="0" fontId="0" fillId="0" borderId="0" xfId="0" applyNumberFormat="1" applyFill="1" applyAlignment="1" applyProtection="1">
      <alignment horizontal="center" vertical="center" wrapText="1"/>
      <protection locked="0"/>
    </xf>
    <xf numFmtId="0" fontId="0" fillId="0" borderId="0" xfId="0" applyNumberFormat="1" applyAlignment="1" applyProtection="1">
      <alignment horizontal="center" vertical="center" wrapText="1"/>
    </xf>
    <xf numFmtId="14" fontId="3" fillId="2" borderId="0" xfId="0" applyNumberFormat="1" applyFont="1" applyFill="1" applyAlignment="1" applyProtection="1">
      <alignment horizontal="center" vertical="center" wrapText="1"/>
    </xf>
    <xf numFmtId="14" fontId="0" fillId="0" borderId="0" xfId="0" applyNumberFormat="1" applyAlignment="1" applyProtection="1">
      <alignment horizontal="center" vertical="center" wrapText="1"/>
    </xf>
    <xf numFmtId="14" fontId="0" fillId="0" borderId="0" xfId="0" applyNumberFormat="1" applyFill="1" applyAlignment="1" applyProtection="1">
      <alignment horizontal="center" vertical="center" wrapText="1"/>
    </xf>
    <xf numFmtId="0" fontId="0" fillId="0" borderId="0" xfId="0" applyNumberFormat="1" applyFill="1" applyAlignment="1" applyProtection="1">
      <alignment horizontal="center" vertical="center" wrapText="1"/>
    </xf>
    <xf numFmtId="0" fontId="27" fillId="0" borderId="0" xfId="0" applyFont="1" applyBorder="1" applyAlignment="1">
      <alignment horizontal="justify" vertical="center"/>
    </xf>
    <xf numFmtId="0" fontId="29" fillId="0" borderId="0" xfId="0" applyFont="1" applyAlignment="1">
      <alignment horizontal="center"/>
    </xf>
    <xf numFmtId="0" fontId="0" fillId="0" borderId="0" xfId="0" applyAlignment="1">
      <alignment horizontal="center"/>
    </xf>
    <xf numFmtId="14" fontId="4" fillId="0" borderId="0" xfId="0" applyNumberFormat="1" applyFont="1" applyAlignment="1" applyProtection="1">
      <alignment horizontal="center" vertical="center" wrapText="1"/>
    </xf>
    <xf numFmtId="0" fontId="3" fillId="2" borderId="0" xfId="0" applyNumberFormat="1" applyFont="1" applyFill="1" applyAlignment="1" applyProtection="1">
      <alignment horizontal="center" vertical="center" wrapText="1"/>
    </xf>
    <xf numFmtId="14" fontId="0" fillId="0" borderId="12" xfId="0" applyNumberFormat="1" applyFill="1" applyBorder="1" applyAlignment="1" applyProtection="1">
      <alignment horizontal="center" vertical="center" wrapText="1"/>
      <protection locked="0"/>
    </xf>
    <xf numFmtId="0" fontId="0" fillId="0" borderId="12" xfId="0" applyNumberFormat="1" applyBorder="1" applyAlignment="1" applyProtection="1">
      <alignment horizontal="center" vertical="center" wrapText="1"/>
      <protection locked="0"/>
    </xf>
    <xf numFmtId="14" fontId="0" fillId="0" borderId="12" xfId="0" applyNumberFormat="1" applyBorder="1" applyAlignment="1" applyProtection="1">
      <alignment horizontal="center" vertical="center" wrapText="1"/>
    </xf>
    <xf numFmtId="14" fontId="0" fillId="0" borderId="12" xfId="0" applyNumberFormat="1" applyFill="1" applyBorder="1" applyAlignment="1" applyProtection="1">
      <alignment horizontal="center" vertical="center" wrapText="1"/>
    </xf>
    <xf numFmtId="0" fontId="0" fillId="0" borderId="12" xfId="0" applyNumberFormat="1" applyBorder="1" applyAlignment="1" applyProtection="1">
      <alignment horizontal="center" vertical="center" wrapText="1"/>
    </xf>
    <xf numFmtId="0" fontId="8" fillId="0" borderId="12" xfId="1" applyNumberFormat="1" applyFont="1" applyBorder="1" applyAlignment="1" applyProtection="1">
      <alignment horizontal="center" vertical="center" wrapText="1"/>
    </xf>
    <xf numFmtId="0" fontId="5" fillId="0" borderId="0" xfId="0" applyFont="1"/>
    <xf numFmtId="49" fontId="5" fillId="0" borderId="0" xfId="0" applyNumberFormat="1" applyFont="1" applyAlignment="1">
      <alignment wrapText="1"/>
    </xf>
    <xf numFmtId="0" fontId="5" fillId="0" borderId="0" xfId="0" applyNumberFormat="1" applyFont="1"/>
    <xf numFmtId="0" fontId="0" fillId="0" borderId="12" xfId="0" applyNumberFormat="1" applyFill="1" applyBorder="1" applyAlignment="1" applyProtection="1">
      <alignment horizontal="center" vertical="center" wrapText="1"/>
      <protection locked="0"/>
    </xf>
    <xf numFmtId="165" fontId="0" fillId="0" borderId="12" xfId="0" applyNumberFormat="1" applyBorder="1" applyAlignment="1" applyProtection="1">
      <alignment horizontal="center" vertical="center" wrapText="1"/>
      <protection locked="0"/>
    </xf>
    <xf numFmtId="0" fontId="32" fillId="0" borderId="13" xfId="0" applyFont="1" applyBorder="1" applyAlignment="1">
      <alignment horizontal="center"/>
    </xf>
    <xf numFmtId="0" fontId="33" fillId="6" borderId="14" xfId="0" applyFont="1" applyFill="1" applyBorder="1" applyAlignment="1">
      <alignment horizontal="center" wrapText="1"/>
    </xf>
    <xf numFmtId="0" fontId="34" fillId="0" borderId="14" xfId="0" applyFont="1" applyBorder="1" applyAlignment="1">
      <alignment wrapText="1"/>
    </xf>
    <xf numFmtId="0" fontId="5" fillId="0" borderId="0" xfId="0" applyFont="1" applyAlignment="1">
      <alignment wrapText="1"/>
    </xf>
    <xf numFmtId="0" fontId="37" fillId="0" borderId="0" xfId="0" applyFont="1" applyBorder="1" applyAlignment="1">
      <alignment horizontal="justify" vertical="center"/>
    </xf>
    <xf numFmtId="0" fontId="38" fillId="0" borderId="0" xfId="0" applyFont="1" applyBorder="1" applyAlignment="1">
      <alignment horizontal="justify" vertical="center"/>
    </xf>
    <xf numFmtId="164" fontId="0" fillId="0" borderId="12" xfId="0" applyNumberFormat="1" applyFill="1" applyBorder="1" applyAlignment="1" applyProtection="1">
      <alignment horizontal="center" vertical="center" wrapText="1"/>
      <protection locked="0"/>
    </xf>
    <xf numFmtId="165" fontId="0" fillId="0" borderId="12" xfId="0" applyNumberFormat="1" applyFill="1" applyBorder="1" applyAlignment="1" applyProtection="1">
      <alignment horizontal="center" vertical="center" wrapText="1"/>
      <protection locked="0"/>
    </xf>
    <xf numFmtId="0" fontId="2" fillId="0" borderId="0" xfId="1" applyNumberFormat="1" applyFont="1" applyAlignment="1" applyProtection="1">
      <alignment horizontal="center" vertical="center" wrapText="1"/>
    </xf>
    <xf numFmtId="0" fontId="9" fillId="0" borderId="12" xfId="1" applyNumberFormat="1" applyFont="1" applyBorder="1" applyAlignment="1" applyProtection="1">
      <alignment horizontal="center" vertical="center" wrapText="1"/>
    </xf>
    <xf numFmtId="0" fontId="0" fillId="0" borderId="0" xfId="0" applyAlignment="1"/>
    <xf numFmtId="0" fontId="39" fillId="0" borderId="0" xfId="0" applyFont="1" applyAlignment="1"/>
    <xf numFmtId="0" fontId="44" fillId="7" borderId="0" xfId="7" applyFont="1" applyFill="1"/>
    <xf numFmtId="0" fontId="1" fillId="7" borderId="0" xfId="7" applyFill="1"/>
    <xf numFmtId="0" fontId="4" fillId="7" borderId="0" xfId="7" applyFont="1" applyFill="1"/>
    <xf numFmtId="0" fontId="1" fillId="0" borderId="0" xfId="7"/>
    <xf numFmtId="14" fontId="47" fillId="0" borderId="12" xfId="7" applyNumberFormat="1" applyFont="1" applyFill="1" applyBorder="1" applyAlignment="1" applyProtection="1">
      <alignment horizontal="center" vertical="center" wrapText="1"/>
    </xf>
    <xf numFmtId="0" fontId="2" fillId="0" borderId="12" xfId="1" applyFont="1" applyFill="1" applyBorder="1" applyAlignment="1" applyProtection="1">
      <alignment horizontal="center" vertical="center" wrapText="1"/>
    </xf>
    <xf numFmtId="0" fontId="0" fillId="0" borderId="12" xfId="1" applyFont="1" applyFill="1" applyBorder="1" applyAlignment="1" applyProtection="1">
      <alignment horizontal="center" vertical="center" wrapText="1"/>
    </xf>
    <xf numFmtId="0" fontId="47" fillId="0" borderId="12" xfId="7" applyNumberFormat="1" applyFont="1" applyFill="1" applyBorder="1" applyAlignment="1" applyProtection="1">
      <alignment horizontal="center" vertical="center" wrapText="1"/>
    </xf>
    <xf numFmtId="0" fontId="47" fillId="0" borderId="12" xfId="1" applyFont="1" applyFill="1" applyBorder="1" applyAlignment="1" applyProtection="1">
      <alignment horizontal="center" vertical="center" wrapText="1"/>
    </xf>
    <xf numFmtId="0" fontId="0" fillId="0" borderId="19" xfId="0" applyBorder="1" applyAlignment="1"/>
    <xf numFmtId="0" fontId="0" fillId="0" borderId="20" xfId="0" applyBorder="1" applyAlignment="1"/>
    <xf numFmtId="0" fontId="0" fillId="0" borderId="21" xfId="0" applyBorder="1" applyAlignment="1"/>
    <xf numFmtId="0" fontId="48" fillId="0" borderId="12" xfId="1" applyNumberFormat="1" applyFont="1" applyBorder="1" applyAlignment="1" applyProtection="1">
      <alignment horizontal="center" vertical="center" wrapText="1"/>
    </xf>
    <xf numFmtId="14" fontId="49" fillId="0" borderId="0" xfId="0" applyNumberFormat="1" applyFont="1" applyAlignment="1" applyProtection="1">
      <alignment horizontal="center" vertical="center" wrapText="1"/>
    </xf>
    <xf numFmtId="14" fontId="0" fillId="0" borderId="0" xfId="0" applyNumberFormat="1" applyFill="1" applyBorder="1" applyAlignment="1" applyProtection="1">
      <alignment horizontal="center" vertical="center" wrapText="1"/>
    </xf>
    <xf numFmtId="14" fontId="3" fillId="0" borderId="0" xfId="0" applyNumberFormat="1" applyFont="1" applyFill="1" applyBorder="1" applyAlignment="1" applyProtection="1">
      <alignment horizontal="right" vertical="center" wrapText="1"/>
    </xf>
    <xf numFmtId="0" fontId="0" fillId="0" borderId="0" xfId="0" applyProtection="1"/>
    <xf numFmtId="14" fontId="3" fillId="2" borderId="1" xfId="0" applyNumberFormat="1" applyFont="1" applyFill="1" applyBorder="1" applyAlignment="1" applyProtection="1">
      <alignment horizontal="right" vertical="center" wrapText="1"/>
    </xf>
    <xf numFmtId="14" fontId="3" fillId="2" borderId="10" xfId="0" applyNumberFormat="1" applyFont="1" applyFill="1" applyBorder="1" applyAlignment="1" applyProtection="1">
      <alignment horizontal="right" vertical="center" wrapText="1"/>
    </xf>
    <xf numFmtId="14" fontId="3" fillId="2" borderId="11" xfId="0" applyNumberFormat="1" applyFont="1" applyFill="1" applyBorder="1" applyAlignment="1" applyProtection="1">
      <alignment horizontal="right" vertical="center" wrapText="1"/>
    </xf>
    <xf numFmtId="0" fontId="30" fillId="4" borderId="10" xfId="0" applyNumberFormat="1" applyFont="1" applyFill="1" applyBorder="1" applyAlignment="1" applyProtection="1">
      <alignment horizontal="center" vertical="center" wrapText="1"/>
    </xf>
    <xf numFmtId="0" fontId="30" fillId="4" borderId="15" xfId="0" applyNumberFormat="1" applyFont="1" applyFill="1" applyBorder="1" applyAlignment="1" applyProtection="1">
      <alignment horizontal="center" vertical="center" wrapText="1"/>
    </xf>
    <xf numFmtId="0" fontId="30" fillId="4" borderId="11" xfId="0" applyNumberFormat="1" applyFont="1" applyFill="1" applyBorder="1" applyAlignment="1" applyProtection="1">
      <alignment horizontal="center" vertical="center" wrapText="1"/>
    </xf>
    <xf numFmtId="0" fontId="0" fillId="5" borderId="16" xfId="0" applyNumberFormat="1" applyFill="1" applyBorder="1" applyAlignment="1" applyProtection="1">
      <alignment horizontal="center" vertical="center" wrapText="1"/>
      <protection locked="0"/>
    </xf>
    <xf numFmtId="0" fontId="0" fillId="5" borderId="17" xfId="0" applyNumberFormat="1" applyFill="1" applyBorder="1" applyAlignment="1" applyProtection="1">
      <alignment horizontal="center" vertical="center" wrapText="1"/>
      <protection locked="0"/>
    </xf>
    <xf numFmtId="0" fontId="0" fillId="5" borderId="18" xfId="0" applyNumberFormat="1" applyFill="1" applyBorder="1" applyAlignment="1" applyProtection="1">
      <alignment horizontal="center" vertical="center" wrapText="1"/>
      <protection locked="0"/>
    </xf>
    <xf numFmtId="0" fontId="0" fillId="5" borderId="19" xfId="0" applyNumberFormat="1" applyFill="1" applyBorder="1" applyAlignment="1" applyProtection="1">
      <alignment horizontal="center" vertical="center" wrapText="1"/>
      <protection locked="0"/>
    </xf>
    <xf numFmtId="0" fontId="0" fillId="5" borderId="20" xfId="0" applyNumberFormat="1" applyFill="1" applyBorder="1" applyAlignment="1" applyProtection="1">
      <alignment horizontal="center" vertical="center" wrapText="1"/>
      <protection locked="0"/>
    </xf>
    <xf numFmtId="0" fontId="0" fillId="5" borderId="21" xfId="0" applyNumberFormat="1" applyFill="1" applyBorder="1" applyAlignment="1" applyProtection="1">
      <alignment horizontal="center" vertical="center" wrapText="1"/>
      <protection locked="0"/>
    </xf>
    <xf numFmtId="0" fontId="18" fillId="0" borderId="8" xfId="0" applyFont="1" applyBorder="1" applyAlignment="1">
      <alignment horizontal="center" vertical="center" wrapText="1"/>
    </xf>
    <xf numFmtId="0" fontId="18" fillId="0" borderId="5" xfId="0" applyFont="1" applyBorder="1" applyAlignment="1">
      <alignment horizontal="center" vertical="center" wrapText="1"/>
    </xf>
    <xf numFmtId="0" fontId="18" fillId="0" borderId="4" xfId="0" applyFont="1" applyBorder="1" applyAlignment="1">
      <alignment horizontal="center" vertical="center" wrapText="1"/>
    </xf>
    <xf numFmtId="0" fontId="17" fillId="0" borderId="8" xfId="0" applyFont="1" applyBorder="1" applyAlignment="1">
      <alignment horizontal="center" vertical="center" wrapText="1"/>
    </xf>
    <xf numFmtId="0" fontId="17" fillId="0" borderId="5" xfId="0" applyFont="1" applyBorder="1" applyAlignment="1">
      <alignment horizontal="center" vertical="center" wrapText="1"/>
    </xf>
    <xf numFmtId="0" fontId="17" fillId="0" borderId="4" xfId="0" applyFont="1" applyBorder="1" applyAlignment="1">
      <alignment horizontal="center" vertical="center" wrapText="1"/>
    </xf>
    <xf numFmtId="0" fontId="18" fillId="0" borderId="9" xfId="0" applyFont="1" applyBorder="1" applyAlignment="1">
      <alignment horizontal="center" vertical="center" wrapText="1"/>
    </xf>
    <xf numFmtId="0" fontId="17" fillId="0" borderId="9" xfId="0" applyFont="1" applyBorder="1" applyAlignment="1">
      <alignment horizontal="center" vertical="center" wrapText="1"/>
    </xf>
    <xf numFmtId="0" fontId="40" fillId="0" borderId="0" xfId="0" applyFont="1" applyAlignment="1">
      <alignment horizontal="left"/>
    </xf>
  </cellXfs>
  <cellStyles count="14">
    <cellStyle name="Currency 2" xfId="8"/>
    <cellStyle name="Followed Hyperlink" xfId="6" builtinId="9" hidden="1"/>
    <cellStyle name="Hyperlink 2" xfId="9"/>
    <cellStyle name="Hyperlink 3" xfId="10"/>
    <cellStyle name="Normal" xfId="0" builtinId="0"/>
    <cellStyle name="Normal 11" xfId="11"/>
    <cellStyle name="Normal 2" xfId="1"/>
    <cellStyle name="Normal 2 2" xfId="2"/>
    <cellStyle name="Normal 2 2 2" xfId="3"/>
    <cellStyle name="Normal 2 3" xfId="4"/>
    <cellStyle name="Normal 2 3 2" xfId="5"/>
    <cellStyle name="Normal 3" xfId="7"/>
    <cellStyle name="Normal 4" xfId="12"/>
    <cellStyle name="Normal 4 2" xfId="13"/>
  </cellStyles>
  <dxfs count="4">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0"/>
      </font>
      <fill>
        <patternFill>
          <bgColor theme="3"/>
        </patternFill>
      </fill>
    </dxf>
  </dxfs>
  <tableStyles count="0" defaultTableStyle="TableStyleMedium9" defaultPivotStyle="PivotStyleMedium7"/>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4.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514350</xdr:colOff>
      <xdr:row>0</xdr:row>
      <xdr:rowOff>0</xdr:rowOff>
    </xdr:from>
    <xdr:to>
      <xdr:col>5</xdr:col>
      <xdr:colOff>304800</xdr:colOff>
      <xdr:row>11</xdr:row>
      <xdr:rowOff>133350</xdr:rowOff>
    </xdr:to>
    <xdr:pic>
      <xdr:nvPicPr>
        <xdr:cNvPr id="2" name="Picture 1" descr="http://kernel-panic.undeletemac.org/files/2014/03/error-300x300.png"/>
        <xdr:cNvPicPr>
          <a:picLocks noChangeAspect="1" noChangeArrowheads="1"/>
        </xdr:cNvPicPr>
      </xdr:nvPicPr>
      <xdr:blipFill>
        <a:blip xmlns:r="http://schemas.openxmlformats.org/officeDocument/2006/relationships" r:embed="rId1" cstate="print"/>
        <a:srcRect/>
        <a:stretch>
          <a:fillRect/>
        </a:stretch>
      </xdr:blipFill>
      <xdr:spPr bwMode="auto">
        <a:xfrm>
          <a:off x="1123950" y="0"/>
          <a:ext cx="2228850" cy="2228850"/>
        </a:xfrm>
        <a:prstGeom prst="rect">
          <a:avLst/>
        </a:prstGeom>
        <a:noFill/>
      </xdr:spPr>
    </xdr:pic>
    <xdr:clientData/>
  </xdr:twoCellAnchor>
  <xdr:twoCellAnchor editAs="oneCell">
    <xdr:from>
      <xdr:col>2</xdr:col>
      <xdr:colOff>0</xdr:colOff>
      <xdr:row>15</xdr:row>
      <xdr:rowOff>38100</xdr:rowOff>
    </xdr:from>
    <xdr:to>
      <xdr:col>9</xdr:col>
      <xdr:colOff>485775</xdr:colOff>
      <xdr:row>17</xdr:row>
      <xdr:rowOff>133350</xdr:rowOff>
    </xdr:to>
    <xdr:pic>
      <xdr:nvPicPr>
        <xdr:cNvPr id="3" name="Picture 2" descr="C:\Users\plh3440\AppData\Local\Temp\SNAGHTML1c35c99.PNG"/>
        <xdr:cNvPicPr>
          <a:picLocks noChangeAspect="1" noChangeArrowheads="1"/>
        </xdr:cNvPicPr>
      </xdr:nvPicPr>
      <xdr:blipFill>
        <a:blip xmlns:r="http://schemas.openxmlformats.org/officeDocument/2006/relationships" r:embed="rId2" cstate="print"/>
        <a:srcRect/>
        <a:stretch>
          <a:fillRect/>
        </a:stretch>
      </xdr:blipFill>
      <xdr:spPr bwMode="auto">
        <a:xfrm>
          <a:off x="1219200" y="3124200"/>
          <a:ext cx="4752975" cy="476250"/>
        </a:xfrm>
        <a:prstGeom prst="rect">
          <a:avLst/>
        </a:prstGeom>
        <a:noFill/>
      </xdr:spPr>
    </xdr:pic>
    <xdr:clientData/>
  </xdr:twoCellAnchor>
  <xdr:twoCellAnchor editAs="oneCell">
    <xdr:from>
      <xdr:col>2</xdr:col>
      <xdr:colOff>1</xdr:colOff>
      <xdr:row>19</xdr:row>
      <xdr:rowOff>38100</xdr:rowOff>
    </xdr:from>
    <xdr:to>
      <xdr:col>8</xdr:col>
      <xdr:colOff>400051</xdr:colOff>
      <xdr:row>37</xdr:row>
      <xdr:rowOff>26068</xdr:rowOff>
    </xdr:to>
    <xdr:pic>
      <xdr:nvPicPr>
        <xdr:cNvPr id="4" name="Picture 2"/>
        <xdr:cNvPicPr>
          <a:picLocks noChangeAspect="1" noChangeArrowheads="1"/>
        </xdr:cNvPicPr>
      </xdr:nvPicPr>
      <xdr:blipFill>
        <a:blip xmlns:r="http://schemas.openxmlformats.org/officeDocument/2006/relationships" r:embed="rId3" cstate="print"/>
        <a:srcRect/>
        <a:stretch>
          <a:fillRect/>
        </a:stretch>
      </xdr:blipFill>
      <xdr:spPr bwMode="auto">
        <a:xfrm>
          <a:off x="1219201" y="3895725"/>
          <a:ext cx="4057650" cy="3416968"/>
        </a:xfrm>
        <a:prstGeom prst="rect">
          <a:avLst/>
        </a:prstGeom>
        <a:noFill/>
        <a:ln w="1">
          <a:noFill/>
          <a:miter lim="800000"/>
          <a:headEnd/>
          <a:tailEnd type="none" w="med" len="med"/>
        </a:ln>
        <a:effec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team.usaa.com/sites/bank/lospilot/Shared%20Documents/Procedures/3.%20Processing/Realtor%20Sharing%20Info_Delta%20169.pdf" TargetMode="External"/><Relationship Id="rId1" Type="http://schemas.openxmlformats.org/officeDocument/2006/relationships/hyperlink" Target="http://team.usaa.com/sites/bank/lospilot/Shared%20Documents/Procedures/3.%20Processing/VA%20Specific/VA%20-%20Verify%20Funding%20Fee.pdf" TargetMode="External"/><Relationship Id="rId5" Type="http://schemas.openxmlformats.org/officeDocument/2006/relationships/comments" Target="../comments1.xml"/><Relationship Id="rId10" Type="http://schemas.openxmlformats.org/officeDocument/2006/relationships/ctrlProp" Target="../ctrlProps/ctrlProp4.xml"/><Relationship Id="rId4" Type="http://schemas.openxmlformats.org/officeDocument/2006/relationships/vmlDrawing" Target="../drawings/vmlDrawing1.vm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6"/>
  <dimension ref="A1:A18"/>
  <sheetViews>
    <sheetView workbookViewId="0"/>
  </sheetViews>
  <sheetFormatPr defaultColWidth="8.875" defaultRowHeight="15.75"/>
  <cols>
    <col min="1" max="1" width="109.125" customWidth="1"/>
  </cols>
  <sheetData>
    <row r="1" spans="1:1" ht="21.75" thickBot="1">
      <c r="A1" s="38" t="s">
        <v>269</v>
      </c>
    </row>
    <row r="2" spans="1:1" ht="16.5" thickBot="1">
      <c r="A2" s="39" t="s">
        <v>270</v>
      </c>
    </row>
    <row r="3" spans="1:1" ht="16.5" thickBot="1">
      <c r="A3" s="40"/>
    </row>
    <row r="4" spans="1:1" ht="16.5" thickBot="1">
      <c r="A4" s="40" t="s">
        <v>271</v>
      </c>
    </row>
    <row r="5" spans="1:1" ht="16.5" thickBot="1">
      <c r="A5" s="40" t="s">
        <v>272</v>
      </c>
    </row>
    <row r="6" spans="1:1" ht="16.5" thickBot="1">
      <c r="A6" s="40" t="s">
        <v>273</v>
      </c>
    </row>
    <row r="7" spans="1:1" ht="16.5" thickBot="1">
      <c r="A7" s="40" t="s">
        <v>308</v>
      </c>
    </row>
    <row r="8" spans="1:1" ht="16.5" thickBot="1">
      <c r="A8" s="40" t="s">
        <v>274</v>
      </c>
    </row>
    <row r="9" spans="1:1" ht="16.5" thickBot="1">
      <c r="A9" s="40" t="s">
        <v>275</v>
      </c>
    </row>
    <row r="10" spans="1:1" ht="60.75" thickBot="1">
      <c r="A10" s="40" t="s">
        <v>309</v>
      </c>
    </row>
    <row r="11" spans="1:1" ht="16.5" thickBot="1">
      <c r="A11" s="40" t="s">
        <v>276</v>
      </c>
    </row>
    <row r="12" spans="1:1" ht="16.5" thickBot="1">
      <c r="A12" s="40" t="s">
        <v>277</v>
      </c>
    </row>
    <row r="13" spans="1:1" ht="30.75" thickBot="1">
      <c r="A13" s="40" t="s">
        <v>278</v>
      </c>
    </row>
    <row r="14" spans="1:1">
      <c r="A14" s="41"/>
    </row>
    <row r="15" spans="1:1" ht="23.25">
      <c r="A15" s="49" t="s">
        <v>314</v>
      </c>
    </row>
    <row r="16" spans="1:1">
      <c r="A16" s="48"/>
    </row>
    <row r="17" spans="1:1">
      <c r="A17" s="48"/>
    </row>
    <row r="18" spans="1:1">
      <c r="A18" s="4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1">
    <tabColor theme="3"/>
    <pageSetUpPr fitToPage="1"/>
  </sheetPr>
  <dimension ref="A1:AB84"/>
  <sheetViews>
    <sheetView showGridLines="0" tabSelected="1" zoomScale="90" zoomScaleNormal="90" workbookViewId="0">
      <pane ySplit="9" topLeftCell="A10" activePane="bottomLeft" state="frozen"/>
      <selection activeCell="A25" sqref="A25"/>
      <selection pane="bottomLeft" activeCell="C1" sqref="C1"/>
    </sheetView>
  </sheetViews>
  <sheetFormatPr defaultColWidth="10.875" defaultRowHeight="15.75"/>
  <cols>
    <col min="1" max="1" width="13.625" style="13" customWidth="1"/>
    <col min="2" max="2" width="14.875" style="13" customWidth="1"/>
    <col min="3" max="3" width="30" style="13" customWidth="1"/>
    <col min="4" max="4" width="33.625" style="13" customWidth="1"/>
    <col min="5" max="5" width="29.875" style="13" customWidth="1"/>
    <col min="6" max="6" width="40.625" style="14" customWidth="1"/>
    <col min="7" max="7" width="18.125" style="14" customWidth="1"/>
    <col min="8" max="8" width="17" style="14" hidden="1" customWidth="1"/>
    <col min="9" max="9" width="24.125" style="14" customWidth="1"/>
    <col min="10" max="12" width="7.5" style="14" customWidth="1"/>
    <col min="13" max="17" width="13.375" style="17" hidden="1" customWidth="1"/>
    <col min="18" max="24" width="10.875" style="19" hidden="1" customWidth="1"/>
    <col min="25" max="28" width="13.875" style="19" hidden="1" customWidth="1"/>
    <col min="29" max="33" width="10.875" style="19" customWidth="1"/>
    <col min="34" max="16384" width="10.875" style="19"/>
  </cols>
  <sheetData>
    <row r="1" spans="1:28" ht="26.1" customHeight="1">
      <c r="A1" s="67" t="s">
        <v>189</v>
      </c>
      <c r="B1" s="67"/>
      <c r="C1" s="12"/>
      <c r="D1" s="66"/>
      <c r="E1" s="19"/>
      <c r="F1" s="70" t="s">
        <v>207</v>
      </c>
      <c r="G1" s="71"/>
      <c r="H1" s="71"/>
      <c r="I1" s="71"/>
      <c r="J1" s="71"/>
      <c r="K1" s="71"/>
      <c r="L1" s="72"/>
      <c r="M1" s="23" t="s">
        <v>195</v>
      </c>
      <c r="N1" s="23" t="s">
        <v>196</v>
      </c>
      <c r="O1" s="23" t="s">
        <v>197</v>
      </c>
      <c r="P1" s="23" t="s">
        <v>198</v>
      </c>
      <c r="Q1" s="23" t="s">
        <v>202</v>
      </c>
      <c r="R1" s="23" t="s">
        <v>405</v>
      </c>
    </row>
    <row r="2" spans="1:28" ht="26.1" customHeight="1">
      <c r="A2" s="67" t="s">
        <v>188</v>
      </c>
      <c r="B2" s="67"/>
      <c r="C2" s="12"/>
      <c r="D2" s="66"/>
      <c r="E2" s="19"/>
      <c r="F2" s="73"/>
      <c r="G2" s="74"/>
      <c r="H2" s="74"/>
      <c r="I2" s="74"/>
      <c r="J2" s="74"/>
      <c r="K2" s="74"/>
      <c r="L2" s="75"/>
      <c r="M2" s="13" t="s">
        <v>313</v>
      </c>
      <c r="N2" s="24" t="s">
        <v>5</v>
      </c>
      <c r="O2" s="24" t="s">
        <v>4</v>
      </c>
      <c r="P2" s="24" t="s">
        <v>184</v>
      </c>
      <c r="Q2" s="24" t="s">
        <v>203</v>
      </c>
      <c r="R2" s="24" t="s">
        <v>407</v>
      </c>
    </row>
    <row r="3" spans="1:28" ht="25.5" customHeight="1">
      <c r="A3" s="68" t="s">
        <v>190</v>
      </c>
      <c r="B3" s="69"/>
      <c r="C3" s="12"/>
      <c r="D3" s="66"/>
      <c r="E3" s="19"/>
      <c r="F3" s="76"/>
      <c r="G3" s="77"/>
      <c r="H3" s="77"/>
      <c r="I3" s="77"/>
      <c r="J3" s="77"/>
      <c r="K3" s="77"/>
      <c r="L3" s="78"/>
      <c r="M3" s="13" t="s">
        <v>2</v>
      </c>
      <c r="N3" s="24" t="s">
        <v>6</v>
      </c>
      <c r="O3" s="24" t="s">
        <v>184</v>
      </c>
      <c r="P3" s="24" t="s">
        <v>137</v>
      </c>
      <c r="Q3" s="24" t="s">
        <v>204</v>
      </c>
      <c r="R3" s="24" t="s">
        <v>406</v>
      </c>
    </row>
    <row r="4" spans="1:28" s="13" customFormat="1" ht="26.1" hidden="1" customHeight="1">
      <c r="A4" s="67" t="s">
        <v>206</v>
      </c>
      <c r="B4" s="67"/>
      <c r="C4" s="12" t="s">
        <v>191</v>
      </c>
      <c r="D4" s="66"/>
      <c r="E4" s="19"/>
      <c r="F4" s="59"/>
      <c r="G4" s="60"/>
      <c r="H4" s="60"/>
      <c r="I4" s="60"/>
      <c r="J4" s="60"/>
      <c r="K4" s="60"/>
      <c r="L4" s="61"/>
      <c r="M4" s="13" t="s">
        <v>185</v>
      </c>
      <c r="N4" s="24"/>
      <c r="O4" s="24" t="s">
        <v>137</v>
      </c>
      <c r="P4" s="24" t="s">
        <v>191</v>
      </c>
      <c r="Q4" s="24" t="s">
        <v>205</v>
      </c>
      <c r="R4" s="24" t="s">
        <v>187</v>
      </c>
      <c r="S4" s="19"/>
      <c r="T4" s="19"/>
      <c r="U4" s="19"/>
      <c r="V4" s="19"/>
      <c r="W4" s="19"/>
      <c r="X4" s="19"/>
      <c r="Y4" s="19"/>
      <c r="Z4" s="19"/>
      <c r="AA4" s="19"/>
      <c r="AB4" s="19"/>
    </row>
    <row r="5" spans="1:28" s="20" customFormat="1" ht="34.5" customHeight="1">
      <c r="A5" s="65"/>
      <c r="B5" s="65"/>
      <c r="E5" s="64"/>
      <c r="F5" s="21"/>
      <c r="G5" s="21"/>
      <c r="H5" s="21"/>
      <c r="I5" s="21"/>
      <c r="J5" s="21"/>
      <c r="K5" s="21"/>
      <c r="L5" s="21"/>
      <c r="M5" s="24"/>
      <c r="N5" s="24"/>
      <c r="O5" s="24"/>
      <c r="P5" s="15"/>
      <c r="Q5" s="24"/>
      <c r="R5" s="24"/>
    </row>
    <row r="6" spans="1:28" s="25" customFormat="1" ht="31.5" hidden="1">
      <c r="A6" s="18" t="str">
        <f t="shared" ref="A6:Q6" si="0">A9</f>
        <v>Section</v>
      </c>
      <c r="B6" s="18" t="str">
        <f t="shared" si="0"/>
        <v>Item</v>
      </c>
      <c r="C6" s="18" t="str">
        <f t="shared" si="0"/>
        <v>Required Information</v>
      </c>
      <c r="D6" s="18" t="str">
        <f t="shared" si="0"/>
        <v>Scrub Prompts</v>
      </c>
      <c r="E6" s="18" t="str">
        <f t="shared" si="0"/>
        <v>Call Prompts</v>
      </c>
      <c r="F6" s="18" t="str">
        <f t="shared" si="0"/>
        <v>Processor's Entry</v>
      </c>
      <c r="G6" s="18" t="str">
        <f>G9</f>
        <v>Status</v>
      </c>
      <c r="H6" s="18" t="str">
        <f t="shared" si="0"/>
        <v>Flag</v>
      </c>
      <c r="I6" s="18" t="str">
        <f t="shared" si="0"/>
        <v>System Notes</v>
      </c>
      <c r="J6" s="18" t="str">
        <f t="shared" si="0"/>
        <v>Scrub
List</v>
      </c>
      <c r="K6" s="18" t="str">
        <f t="shared" si="0"/>
        <v>Intro
Call</v>
      </c>
      <c r="L6" s="18" t="str">
        <f t="shared" si="0"/>
        <v>Realtor
Call</v>
      </c>
      <c r="M6" s="18" t="str">
        <f t="shared" si="0"/>
        <v>Conv</v>
      </c>
      <c r="N6" s="18" t="str">
        <f t="shared" si="0"/>
        <v>VA</v>
      </c>
      <c r="O6" s="18" t="str">
        <f t="shared" si="0"/>
        <v>VA IRRRL</v>
      </c>
      <c r="P6" s="18" t="str">
        <f t="shared" si="0"/>
        <v>Purchase</v>
      </c>
      <c r="Q6" s="18" t="str">
        <f t="shared" si="0"/>
        <v>Refinance</v>
      </c>
    </row>
    <row r="7" spans="1:28" s="21" customFormat="1" hidden="1">
      <c r="A7" s="16"/>
      <c r="B7" s="16"/>
      <c r="C7" s="16"/>
      <c r="D7" s="16"/>
      <c r="E7" s="16"/>
      <c r="F7" s="16"/>
      <c r="G7" s="16"/>
      <c r="H7" s="16"/>
      <c r="I7" s="16"/>
      <c r="J7" s="16"/>
      <c r="K7" s="16"/>
      <c r="L7" s="16"/>
      <c r="M7" s="16"/>
      <c r="N7" s="16"/>
      <c r="O7" s="16"/>
      <c r="P7" s="16"/>
      <c r="Q7" s="16"/>
    </row>
    <row r="8" spans="1:28" hidden="1">
      <c r="H8" s="16"/>
      <c r="J8" s="13"/>
      <c r="L8" s="16"/>
      <c r="M8" s="14"/>
      <c r="N8" s="14"/>
      <c r="O8" s="14"/>
      <c r="P8" s="14"/>
      <c r="Q8" s="14"/>
    </row>
    <row r="9" spans="1:28" s="25" customFormat="1" ht="31.5">
      <c r="A9" s="18" t="s">
        <v>1</v>
      </c>
      <c r="B9" s="18" t="s">
        <v>8</v>
      </c>
      <c r="C9" s="18" t="s">
        <v>0</v>
      </c>
      <c r="D9" s="18" t="s">
        <v>219</v>
      </c>
      <c r="E9" s="18" t="s">
        <v>257</v>
      </c>
      <c r="F9" s="26" t="s">
        <v>192</v>
      </c>
      <c r="G9" s="26" t="s">
        <v>467</v>
      </c>
      <c r="H9" s="26" t="s">
        <v>186</v>
      </c>
      <c r="I9" s="26" t="s">
        <v>7</v>
      </c>
      <c r="J9" s="18" t="s">
        <v>199</v>
      </c>
      <c r="K9" s="18" t="s">
        <v>200</v>
      </c>
      <c r="L9" s="18" t="s">
        <v>201</v>
      </c>
      <c r="M9" s="26" t="s">
        <v>3</v>
      </c>
      <c r="N9" s="26" t="s">
        <v>2</v>
      </c>
      <c r="O9" s="26" t="s">
        <v>185</v>
      </c>
      <c r="P9" s="26" t="s">
        <v>5</v>
      </c>
      <c r="Q9" s="26" t="s">
        <v>6</v>
      </c>
      <c r="S9" s="25" t="s">
        <v>468</v>
      </c>
      <c r="T9" s="25" t="s">
        <v>469</v>
      </c>
      <c r="U9" s="25" t="s">
        <v>470</v>
      </c>
      <c r="V9" s="25" t="s">
        <v>468</v>
      </c>
      <c r="W9" s="25" t="s">
        <v>469</v>
      </c>
      <c r="X9" s="25" t="s">
        <v>470</v>
      </c>
      <c r="Y9" s="25" t="s">
        <v>480</v>
      </c>
      <c r="Z9" s="25" t="s">
        <v>479</v>
      </c>
      <c r="AA9" s="25" t="s">
        <v>478</v>
      </c>
      <c r="AB9" s="25" t="s">
        <v>481</v>
      </c>
    </row>
    <row r="10" spans="1:28" ht="47.25">
      <c r="A10" s="29" t="s">
        <v>209</v>
      </c>
      <c r="B10" s="29" t="s">
        <v>210</v>
      </c>
      <c r="C10" s="30" t="s">
        <v>211</v>
      </c>
      <c r="D10" s="30" t="s">
        <v>220</v>
      </c>
      <c r="E10" s="30" t="s">
        <v>48</v>
      </c>
      <c r="F10" s="27"/>
      <c r="G10" s="27"/>
      <c r="H10" s="28"/>
      <c r="I10" s="31" t="s">
        <v>187</v>
      </c>
      <c r="J10" s="62" t="str">
        <f>IF(S10=TRUE,"Y","")</f>
        <v>Y</v>
      </c>
      <c r="K10" s="62" t="str">
        <f t="shared" ref="K10:L25" si="1">IF(T10=TRUE,"Y","")</f>
        <v/>
      </c>
      <c r="L10" s="62" t="str">
        <f t="shared" si="1"/>
        <v/>
      </c>
      <c r="M10" s="46" t="s">
        <v>10</v>
      </c>
      <c r="N10" s="46" t="s">
        <v>10</v>
      </c>
      <c r="O10" s="46" t="s">
        <v>10</v>
      </c>
      <c r="P10" s="46" t="s">
        <v>10</v>
      </c>
      <c r="Q10" s="46" t="s">
        <v>10</v>
      </c>
      <c r="S10" s="13" t="b">
        <v>1</v>
      </c>
      <c r="T10" s="13" t="b">
        <v>0</v>
      </c>
      <c r="U10" s="13" t="b">
        <v>0</v>
      </c>
      <c r="V10" s="63" t="b">
        <v>1</v>
      </c>
      <c r="W10" s="63" t="b">
        <v>0</v>
      </c>
      <c r="X10" s="63" t="b">
        <v>0</v>
      </c>
      <c r="Y10" s="19" t="str">
        <f>IF($C$2="Refinance",IF(Q10&lt;&gt;"Y","N","Y"),IF($C$2="Purchase",IF(P10&lt;&gt;"Y","N","Y"),""))</f>
        <v/>
      </c>
      <c r="Z10" s="19" t="str">
        <f>IF($C$1="Conventional",IF(M10&lt;&gt;"Y","N","Y"),IF($C$1="VA",IF(N10&lt;&gt;"Y","N","Y"),IF($C$1="VA IRRRL",IF(O10&lt;&gt;"Y","N","Y"),"")))</f>
        <v/>
      </c>
      <c r="AA10" s="19" t="str">
        <f>IF(OR(Y10&lt;&gt;"Y",Z10&lt;&gt;"Y"),"N","Y")</f>
        <v>N</v>
      </c>
      <c r="AB10" s="19" t="str">
        <f>IF(AA10="Y",IF($C$3="Scrub",IF(J10="Y","Y","N"),IF($C$3="Intro Call",IF(K10="Y","Y","N"),IF($C$3="Realtor Call",IF(L10="Y","Y","N")))),"N")</f>
        <v>N</v>
      </c>
    </row>
    <row r="11" spans="1:28" ht="126">
      <c r="A11" s="29" t="s">
        <v>11</v>
      </c>
      <c r="B11" s="29" t="s">
        <v>9</v>
      </c>
      <c r="C11" s="30" t="s">
        <v>45</v>
      </c>
      <c r="D11" s="30"/>
      <c r="E11" s="54" t="s">
        <v>412</v>
      </c>
      <c r="F11" s="27"/>
      <c r="G11" s="27"/>
      <c r="H11" s="28"/>
      <c r="I11" s="31" t="s">
        <v>187</v>
      </c>
      <c r="J11" s="62" t="str">
        <f t="shared" ref="J11:J74" si="2">IF(S11=TRUE,"Y","")</f>
        <v/>
      </c>
      <c r="K11" s="62" t="str">
        <f t="shared" si="1"/>
        <v>Y</v>
      </c>
      <c r="L11" s="62" t="str">
        <f t="shared" si="1"/>
        <v/>
      </c>
      <c r="M11" s="46" t="s">
        <v>10</v>
      </c>
      <c r="N11" s="46" t="s">
        <v>10</v>
      </c>
      <c r="O11" s="46" t="s">
        <v>10</v>
      </c>
      <c r="P11" s="46" t="s">
        <v>10</v>
      </c>
      <c r="Q11" s="46" t="s">
        <v>10</v>
      </c>
      <c r="S11" s="13" t="b">
        <v>0</v>
      </c>
      <c r="T11" s="13" t="b">
        <v>1</v>
      </c>
      <c r="U11" s="13" t="b">
        <v>0</v>
      </c>
      <c r="V11" s="63" t="b">
        <v>0</v>
      </c>
      <c r="W11" s="63" t="b">
        <v>1</v>
      </c>
      <c r="X11" s="63" t="b">
        <v>0</v>
      </c>
      <c r="Y11" s="19" t="str">
        <f t="shared" ref="Y11:Y74" si="3">IF($C$2="Refinance",IF(Q11&lt;&gt;"Y","N","Y"),IF($C$2="Purchase",IF(P11&lt;&gt;"Y","N","Y"),""))</f>
        <v/>
      </c>
      <c r="Z11" s="19" t="str">
        <f t="shared" ref="Z11:Z74" si="4">IF($C$1="Conventional",IF(M11&lt;&gt;"Y","N","Y"),IF($C$1="VA",IF(N11&lt;&gt;"Y","N","Y"),IF($C$1="VA IRRRL",IF(O11&lt;&gt;"Y","N","Y"),"")))</f>
        <v/>
      </c>
      <c r="AA11" s="19" t="str">
        <f t="shared" ref="AA11:AA74" si="5">IF(OR(Y11&lt;&gt;"Y",Z11&lt;&gt;"Y"),"N","Y")</f>
        <v>N</v>
      </c>
      <c r="AB11" s="19" t="str">
        <f t="shared" ref="AB11:AB74" si="6">IF(AA11="Y",IF($C$3="Scrub",IF(J11="Y","Y","N"),IF($C$3="Intro Call",IF(K11="Y","Y","N"),IF($C$3="Realtor Call",IF(L11="Y","Y","N")))),"N")</f>
        <v>N</v>
      </c>
    </row>
    <row r="12" spans="1:28" ht="31.5">
      <c r="A12" s="29" t="s">
        <v>11</v>
      </c>
      <c r="B12" s="29" t="s">
        <v>44</v>
      </c>
      <c r="C12" s="30" t="s">
        <v>43</v>
      </c>
      <c r="D12" s="30"/>
      <c r="E12" s="54" t="s">
        <v>413</v>
      </c>
      <c r="F12" s="36"/>
      <c r="G12" s="27"/>
      <c r="H12" s="28"/>
      <c r="I12" s="31" t="s">
        <v>187</v>
      </c>
      <c r="J12" s="62" t="str">
        <f t="shared" si="2"/>
        <v/>
      </c>
      <c r="K12" s="62" t="str">
        <f t="shared" si="1"/>
        <v>Y</v>
      </c>
      <c r="L12" s="62" t="str">
        <f t="shared" si="1"/>
        <v/>
      </c>
      <c r="M12" s="46" t="s">
        <v>10</v>
      </c>
      <c r="N12" s="46" t="s">
        <v>10</v>
      </c>
      <c r="O12" s="46" t="s">
        <v>10</v>
      </c>
      <c r="P12" s="46" t="s">
        <v>10</v>
      </c>
      <c r="Q12" s="46" t="s">
        <v>10</v>
      </c>
      <c r="S12" s="13" t="b">
        <v>0</v>
      </c>
      <c r="T12" s="13" t="b">
        <v>1</v>
      </c>
      <c r="U12" s="13" t="b">
        <v>0</v>
      </c>
      <c r="V12" s="63" t="b">
        <v>0</v>
      </c>
      <c r="W12" s="63" t="b">
        <v>1</v>
      </c>
      <c r="X12" s="63" t="b">
        <v>0</v>
      </c>
      <c r="Y12" s="19" t="str">
        <f t="shared" si="3"/>
        <v/>
      </c>
      <c r="Z12" s="19" t="str">
        <f t="shared" si="4"/>
        <v/>
      </c>
      <c r="AA12" s="19" t="str">
        <f t="shared" si="5"/>
        <v>N</v>
      </c>
      <c r="AB12" s="19" t="str">
        <f t="shared" si="6"/>
        <v>N</v>
      </c>
    </row>
    <row r="13" spans="1:28" ht="63">
      <c r="A13" s="29" t="s">
        <v>11</v>
      </c>
      <c r="B13" s="29" t="s">
        <v>12</v>
      </c>
      <c r="C13" s="30" t="s">
        <v>46</v>
      </c>
      <c r="D13" s="30"/>
      <c r="E13" s="54" t="s">
        <v>414</v>
      </c>
      <c r="F13" s="36"/>
      <c r="G13" s="27"/>
      <c r="H13" s="28"/>
      <c r="I13" s="31" t="s">
        <v>187</v>
      </c>
      <c r="J13" s="62" t="str">
        <f t="shared" si="2"/>
        <v/>
      </c>
      <c r="K13" s="62" t="str">
        <f t="shared" si="1"/>
        <v>Y</v>
      </c>
      <c r="L13" s="62" t="str">
        <f t="shared" si="1"/>
        <v/>
      </c>
      <c r="M13" s="46" t="s">
        <v>10</v>
      </c>
      <c r="N13" s="46" t="s">
        <v>10</v>
      </c>
      <c r="O13" s="46" t="s">
        <v>10</v>
      </c>
      <c r="P13" s="46" t="s">
        <v>10</v>
      </c>
      <c r="Q13" s="46" t="s">
        <v>10</v>
      </c>
      <c r="S13" s="13" t="b">
        <v>0</v>
      </c>
      <c r="T13" s="13" t="b">
        <v>1</v>
      </c>
      <c r="U13" s="13" t="b">
        <v>0</v>
      </c>
      <c r="V13" s="63" t="b">
        <v>0</v>
      </c>
      <c r="W13" s="63" t="b">
        <v>1</v>
      </c>
      <c r="X13" s="63" t="b">
        <v>0</v>
      </c>
      <c r="Y13" s="19" t="str">
        <f t="shared" si="3"/>
        <v/>
      </c>
      <c r="Z13" s="19" t="str">
        <f t="shared" si="4"/>
        <v/>
      </c>
      <c r="AA13" s="19" t="str">
        <f t="shared" si="5"/>
        <v>N</v>
      </c>
      <c r="AB13" s="19" t="str">
        <f t="shared" si="6"/>
        <v>N</v>
      </c>
    </row>
    <row r="14" spans="1:28" ht="47.25">
      <c r="A14" s="29" t="s">
        <v>11</v>
      </c>
      <c r="B14" s="29" t="s">
        <v>47</v>
      </c>
      <c r="C14" s="30" t="s">
        <v>393</v>
      </c>
      <c r="D14" s="54" t="s">
        <v>415</v>
      </c>
      <c r="E14" s="30" t="s">
        <v>48</v>
      </c>
      <c r="F14" s="36"/>
      <c r="G14" s="27"/>
      <c r="H14" s="28"/>
      <c r="I14" s="31" t="s">
        <v>187</v>
      </c>
      <c r="J14" s="62" t="str">
        <f t="shared" si="2"/>
        <v/>
      </c>
      <c r="K14" s="62" t="str">
        <f t="shared" si="1"/>
        <v>Y</v>
      </c>
      <c r="L14" s="62" t="str">
        <f t="shared" si="1"/>
        <v/>
      </c>
      <c r="M14" s="46" t="s">
        <v>10</v>
      </c>
      <c r="N14" s="46" t="s">
        <v>10</v>
      </c>
      <c r="O14" s="46" t="s">
        <v>10</v>
      </c>
      <c r="P14" s="46" t="s">
        <v>10</v>
      </c>
      <c r="Q14" s="46" t="s">
        <v>10</v>
      </c>
      <c r="S14" s="13" t="b">
        <v>0</v>
      </c>
      <c r="T14" s="13" t="b">
        <v>1</v>
      </c>
      <c r="U14" s="13" t="b">
        <v>0</v>
      </c>
      <c r="V14" s="63" t="b">
        <v>0</v>
      </c>
      <c r="W14" s="63" t="b">
        <v>1</v>
      </c>
      <c r="X14" s="63" t="b">
        <v>0</v>
      </c>
      <c r="Y14" s="19" t="str">
        <f t="shared" si="3"/>
        <v/>
      </c>
      <c r="Z14" s="19" t="str">
        <f t="shared" si="4"/>
        <v/>
      </c>
      <c r="AA14" s="19" t="str">
        <f t="shared" si="5"/>
        <v>N</v>
      </c>
      <c r="AB14" s="19" t="str">
        <f t="shared" si="6"/>
        <v>N</v>
      </c>
    </row>
    <row r="15" spans="1:28" ht="31.5">
      <c r="A15" s="29" t="s">
        <v>11</v>
      </c>
      <c r="B15" s="29" t="s">
        <v>49</v>
      </c>
      <c r="C15" s="30" t="s">
        <v>50</v>
      </c>
      <c r="D15" s="54" t="s">
        <v>416</v>
      </c>
      <c r="E15" s="54" t="s">
        <v>417</v>
      </c>
      <c r="F15" s="27"/>
      <c r="G15" s="27"/>
      <c r="H15" s="28"/>
      <c r="I15" s="31" t="s">
        <v>187</v>
      </c>
      <c r="J15" s="62" t="str">
        <f t="shared" si="2"/>
        <v/>
      </c>
      <c r="K15" s="62" t="str">
        <f t="shared" si="1"/>
        <v>Y</v>
      </c>
      <c r="L15" s="62" t="str">
        <f t="shared" si="1"/>
        <v/>
      </c>
      <c r="M15" s="46" t="s">
        <v>10</v>
      </c>
      <c r="N15" s="46" t="s">
        <v>10</v>
      </c>
      <c r="O15" s="46" t="s">
        <v>10</v>
      </c>
      <c r="P15" s="46" t="s">
        <v>10</v>
      </c>
      <c r="Q15" s="46" t="s">
        <v>10</v>
      </c>
      <c r="S15" s="13" t="b">
        <v>0</v>
      </c>
      <c r="T15" s="13" t="b">
        <v>1</v>
      </c>
      <c r="U15" s="13" t="b">
        <v>0</v>
      </c>
      <c r="V15" s="63" t="b">
        <v>0</v>
      </c>
      <c r="W15" s="63" t="b">
        <v>1</v>
      </c>
      <c r="X15" s="63" t="b">
        <v>0</v>
      </c>
      <c r="Y15" s="19" t="str">
        <f t="shared" si="3"/>
        <v/>
      </c>
      <c r="Z15" s="19" t="str">
        <f t="shared" si="4"/>
        <v/>
      </c>
      <c r="AA15" s="19" t="str">
        <f t="shared" si="5"/>
        <v>N</v>
      </c>
      <c r="AB15" s="19" t="str">
        <f t="shared" si="6"/>
        <v>N</v>
      </c>
    </row>
    <row r="16" spans="1:28" ht="63">
      <c r="A16" s="29" t="s">
        <v>11</v>
      </c>
      <c r="B16" s="29" t="s">
        <v>289</v>
      </c>
      <c r="C16" s="30" t="s">
        <v>290</v>
      </c>
      <c r="D16" s="30" t="s">
        <v>291</v>
      </c>
      <c r="E16" s="54" t="s">
        <v>418</v>
      </c>
      <c r="F16" s="28"/>
      <c r="G16" s="27"/>
      <c r="H16" s="28"/>
      <c r="I16" s="31" t="s">
        <v>187</v>
      </c>
      <c r="J16" s="62" t="str">
        <f t="shared" si="2"/>
        <v/>
      </c>
      <c r="K16" s="62" t="str">
        <f t="shared" si="1"/>
        <v>Y</v>
      </c>
      <c r="L16" s="62" t="str">
        <f t="shared" si="1"/>
        <v/>
      </c>
      <c r="M16" s="46" t="s">
        <v>10</v>
      </c>
      <c r="N16" s="46" t="s">
        <v>10</v>
      </c>
      <c r="O16" s="46" t="s">
        <v>10</v>
      </c>
      <c r="P16" s="46" t="s">
        <v>10</v>
      </c>
      <c r="Q16" s="46" t="s">
        <v>10</v>
      </c>
      <c r="S16" s="13" t="b">
        <v>0</v>
      </c>
      <c r="T16" s="13" t="b">
        <v>1</v>
      </c>
      <c r="U16" s="13" t="b">
        <v>0</v>
      </c>
      <c r="V16" s="63" t="b">
        <v>0</v>
      </c>
      <c r="W16" s="63" t="b">
        <v>1</v>
      </c>
      <c r="X16" s="63" t="b">
        <v>0</v>
      </c>
      <c r="Y16" s="19" t="str">
        <f t="shared" si="3"/>
        <v/>
      </c>
      <c r="Z16" s="19" t="str">
        <f t="shared" si="4"/>
        <v/>
      </c>
      <c r="AA16" s="19" t="str">
        <f t="shared" si="5"/>
        <v>N</v>
      </c>
      <c r="AB16" s="19" t="str">
        <f t="shared" si="6"/>
        <v>N</v>
      </c>
    </row>
    <row r="17" spans="1:28" ht="47.25">
      <c r="A17" s="29" t="s">
        <v>11</v>
      </c>
      <c r="B17" s="29" t="s">
        <v>13</v>
      </c>
      <c r="C17" s="30" t="s">
        <v>51</v>
      </c>
      <c r="D17" s="30"/>
      <c r="E17" s="54" t="s">
        <v>419</v>
      </c>
      <c r="F17" s="36"/>
      <c r="G17" s="27"/>
      <c r="H17" s="28"/>
      <c r="I17" s="31" t="s">
        <v>187</v>
      </c>
      <c r="J17" s="62" t="str">
        <f t="shared" si="2"/>
        <v/>
      </c>
      <c r="K17" s="62" t="str">
        <f t="shared" si="1"/>
        <v>Y</v>
      </c>
      <c r="L17" s="62" t="str">
        <f t="shared" si="1"/>
        <v/>
      </c>
      <c r="M17" s="46" t="s">
        <v>10</v>
      </c>
      <c r="N17" s="46" t="s">
        <v>10</v>
      </c>
      <c r="O17" s="46" t="s">
        <v>10</v>
      </c>
      <c r="P17" s="46" t="s">
        <v>10</v>
      </c>
      <c r="Q17" s="46" t="s">
        <v>10</v>
      </c>
      <c r="S17" s="13" t="b">
        <v>0</v>
      </c>
      <c r="T17" s="13" t="b">
        <v>1</v>
      </c>
      <c r="U17" s="13" t="b">
        <v>0</v>
      </c>
      <c r="V17" s="63" t="b">
        <v>0</v>
      </c>
      <c r="W17" s="63" t="b">
        <v>1</v>
      </c>
      <c r="X17" s="63" t="b">
        <v>0</v>
      </c>
      <c r="Y17" s="19" t="str">
        <f t="shared" si="3"/>
        <v/>
      </c>
      <c r="Z17" s="19" t="str">
        <f t="shared" si="4"/>
        <v/>
      </c>
      <c r="AA17" s="19" t="str">
        <f t="shared" si="5"/>
        <v>N</v>
      </c>
      <c r="AB17" s="19" t="str">
        <f t="shared" si="6"/>
        <v>N</v>
      </c>
    </row>
    <row r="18" spans="1:28" ht="94.5">
      <c r="A18" s="29" t="s">
        <v>14</v>
      </c>
      <c r="B18" s="29" t="s">
        <v>53</v>
      </c>
      <c r="C18" s="30" t="s">
        <v>403</v>
      </c>
      <c r="D18" s="30" t="s">
        <v>466</v>
      </c>
      <c r="E18" s="54" t="s">
        <v>420</v>
      </c>
      <c r="F18" s="27"/>
      <c r="G18" s="27"/>
      <c r="H18" s="28"/>
      <c r="I18" s="31" t="s">
        <v>15</v>
      </c>
      <c r="J18" s="62" t="str">
        <f t="shared" si="2"/>
        <v>Y</v>
      </c>
      <c r="K18" s="62" t="str">
        <f t="shared" si="1"/>
        <v>Y</v>
      </c>
      <c r="L18" s="62" t="str">
        <f t="shared" si="1"/>
        <v/>
      </c>
      <c r="M18" s="46" t="s">
        <v>10</v>
      </c>
      <c r="N18" s="46" t="s">
        <v>10</v>
      </c>
      <c r="O18" s="46" t="s">
        <v>10</v>
      </c>
      <c r="P18" s="46" t="s">
        <v>10</v>
      </c>
      <c r="Q18" s="46" t="s">
        <v>10</v>
      </c>
      <c r="S18" s="13" t="b">
        <v>1</v>
      </c>
      <c r="T18" s="13" t="b">
        <v>1</v>
      </c>
      <c r="U18" s="13" t="b">
        <v>0</v>
      </c>
      <c r="V18" s="63" t="b">
        <v>1</v>
      </c>
      <c r="W18" s="63" t="b">
        <v>1</v>
      </c>
      <c r="X18" s="63" t="b">
        <v>0</v>
      </c>
      <c r="Y18" s="19" t="str">
        <f t="shared" si="3"/>
        <v/>
      </c>
      <c r="Z18" s="19" t="str">
        <f t="shared" si="4"/>
        <v/>
      </c>
      <c r="AA18" s="19" t="str">
        <f t="shared" si="5"/>
        <v>N</v>
      </c>
      <c r="AB18" s="19" t="str">
        <f t="shared" si="6"/>
        <v>N</v>
      </c>
    </row>
    <row r="19" spans="1:28" ht="78.75">
      <c r="A19" s="29" t="s">
        <v>6</v>
      </c>
      <c r="B19" s="29" t="s">
        <v>185</v>
      </c>
      <c r="C19" s="30" t="s">
        <v>397</v>
      </c>
      <c r="D19" s="30" t="s">
        <v>396</v>
      </c>
      <c r="E19" s="30"/>
      <c r="F19" s="36"/>
      <c r="G19" s="27"/>
      <c r="H19" s="28"/>
      <c r="I19" s="32" t="s">
        <v>187</v>
      </c>
      <c r="J19" s="62" t="str">
        <f t="shared" si="2"/>
        <v>Y</v>
      </c>
      <c r="K19" s="62" t="str">
        <f t="shared" si="1"/>
        <v/>
      </c>
      <c r="L19" s="62" t="str">
        <f t="shared" si="1"/>
        <v/>
      </c>
      <c r="M19" s="46"/>
      <c r="N19" s="46"/>
      <c r="O19" s="46" t="s">
        <v>10</v>
      </c>
      <c r="P19" s="46"/>
      <c r="Q19" s="46" t="s">
        <v>10</v>
      </c>
      <c r="S19" s="13" t="b">
        <v>1</v>
      </c>
      <c r="T19" s="13" t="b">
        <v>0</v>
      </c>
      <c r="U19" s="13" t="b">
        <v>0</v>
      </c>
      <c r="V19" s="63" t="b">
        <v>1</v>
      </c>
      <c r="W19" s="63" t="b">
        <v>0</v>
      </c>
      <c r="X19" s="63" t="b">
        <v>0</v>
      </c>
      <c r="Y19" s="19" t="str">
        <f t="shared" si="3"/>
        <v/>
      </c>
      <c r="Z19" s="19" t="str">
        <f t="shared" si="4"/>
        <v/>
      </c>
      <c r="AA19" s="19" t="str">
        <f t="shared" si="5"/>
        <v>N</v>
      </c>
      <c r="AB19" s="19" t="str">
        <f t="shared" si="6"/>
        <v>N</v>
      </c>
    </row>
    <row r="20" spans="1:28" ht="180">
      <c r="A20" s="29" t="s">
        <v>6</v>
      </c>
      <c r="B20" s="29" t="s">
        <v>79</v>
      </c>
      <c r="C20" s="30" t="s">
        <v>83</v>
      </c>
      <c r="D20" s="30"/>
      <c r="E20" s="54" t="s">
        <v>421</v>
      </c>
      <c r="F20" s="36"/>
      <c r="G20" s="27"/>
      <c r="H20" s="28"/>
      <c r="I20" s="32" t="s">
        <v>84</v>
      </c>
      <c r="J20" s="62" t="str">
        <f t="shared" si="2"/>
        <v>Y</v>
      </c>
      <c r="K20" s="62" t="str">
        <f t="shared" si="1"/>
        <v>Y</v>
      </c>
      <c r="L20" s="62" t="str">
        <f t="shared" si="1"/>
        <v/>
      </c>
      <c r="M20" s="46" t="s">
        <v>10</v>
      </c>
      <c r="N20" s="46" t="s">
        <v>10</v>
      </c>
      <c r="O20" s="46"/>
      <c r="P20" s="46"/>
      <c r="Q20" s="46" t="s">
        <v>10</v>
      </c>
      <c r="S20" s="13" t="b">
        <v>1</v>
      </c>
      <c r="T20" s="13" t="b">
        <v>1</v>
      </c>
      <c r="U20" s="13" t="b">
        <v>0</v>
      </c>
      <c r="V20" s="63" t="b">
        <v>1</v>
      </c>
      <c r="W20" s="63" t="b">
        <v>1</v>
      </c>
      <c r="X20" s="63" t="b">
        <v>0</v>
      </c>
      <c r="Y20" s="19" t="str">
        <f t="shared" si="3"/>
        <v/>
      </c>
      <c r="Z20" s="19" t="str">
        <f t="shared" si="4"/>
        <v/>
      </c>
      <c r="AA20" s="19" t="str">
        <f t="shared" si="5"/>
        <v>N</v>
      </c>
      <c r="AB20" s="19" t="str">
        <f t="shared" si="6"/>
        <v>N</v>
      </c>
    </row>
    <row r="21" spans="1:28" ht="60.75">
      <c r="A21" s="29" t="s">
        <v>14</v>
      </c>
      <c r="B21" s="29" t="s">
        <v>54</v>
      </c>
      <c r="C21" s="30" t="s">
        <v>260</v>
      </c>
      <c r="D21" s="30" t="s">
        <v>221</v>
      </c>
      <c r="E21" s="54" t="s">
        <v>422</v>
      </c>
      <c r="F21" s="36"/>
      <c r="G21" s="27"/>
      <c r="H21" s="28"/>
      <c r="I21" s="31" t="s">
        <v>16</v>
      </c>
      <c r="J21" s="62" t="str">
        <f t="shared" si="2"/>
        <v>Y</v>
      </c>
      <c r="K21" s="62" t="str">
        <f t="shared" si="1"/>
        <v>Y</v>
      </c>
      <c r="L21" s="62" t="str">
        <f t="shared" si="1"/>
        <v>Y</v>
      </c>
      <c r="M21" s="46" t="s">
        <v>10</v>
      </c>
      <c r="N21" s="46" t="s">
        <v>10</v>
      </c>
      <c r="O21" s="46" t="s">
        <v>10</v>
      </c>
      <c r="P21" s="46" t="s">
        <v>10</v>
      </c>
      <c r="Q21" s="46" t="s">
        <v>10</v>
      </c>
      <c r="S21" s="13" t="b">
        <v>1</v>
      </c>
      <c r="T21" s="13" t="b">
        <v>1</v>
      </c>
      <c r="U21" s="13" t="b">
        <v>1</v>
      </c>
      <c r="V21" s="63" t="b">
        <v>1</v>
      </c>
      <c r="W21" s="63" t="b">
        <v>1</v>
      </c>
      <c r="X21" s="63" t="b">
        <v>1</v>
      </c>
      <c r="Y21" s="19" t="str">
        <f t="shared" si="3"/>
        <v/>
      </c>
      <c r="Z21" s="19" t="str">
        <f t="shared" si="4"/>
        <v/>
      </c>
      <c r="AA21" s="19" t="str">
        <f t="shared" si="5"/>
        <v>N</v>
      </c>
      <c r="AB21" s="19" t="str">
        <f t="shared" si="6"/>
        <v>N</v>
      </c>
    </row>
    <row r="22" spans="1:28" ht="60.75">
      <c r="A22" s="29" t="s">
        <v>14</v>
      </c>
      <c r="B22" s="29" t="s">
        <v>54</v>
      </c>
      <c r="C22" s="30" t="s">
        <v>55</v>
      </c>
      <c r="D22" s="30" t="s">
        <v>222</v>
      </c>
      <c r="E22" s="30" t="s">
        <v>48</v>
      </c>
      <c r="F22" s="36"/>
      <c r="G22" s="27"/>
      <c r="H22" s="28"/>
      <c r="I22" s="31" t="s">
        <v>16</v>
      </c>
      <c r="J22" s="62" t="str">
        <f t="shared" si="2"/>
        <v>Y</v>
      </c>
      <c r="K22" s="62" t="str">
        <f t="shared" si="1"/>
        <v/>
      </c>
      <c r="L22" s="62" t="str">
        <f t="shared" si="1"/>
        <v>Y</v>
      </c>
      <c r="M22" s="46" t="s">
        <v>10</v>
      </c>
      <c r="N22" s="46" t="s">
        <v>10</v>
      </c>
      <c r="O22" s="46"/>
      <c r="P22" s="46" t="s">
        <v>10</v>
      </c>
      <c r="Q22" s="46"/>
      <c r="S22" s="13" t="b">
        <v>1</v>
      </c>
      <c r="T22" s="13" t="b">
        <v>0</v>
      </c>
      <c r="U22" s="13" t="b">
        <v>1</v>
      </c>
      <c r="V22" s="63" t="b">
        <v>1</v>
      </c>
      <c r="W22" s="63" t="b">
        <v>0</v>
      </c>
      <c r="X22" s="63" t="b">
        <v>1</v>
      </c>
      <c r="Y22" s="19" t="str">
        <f t="shared" si="3"/>
        <v/>
      </c>
      <c r="Z22" s="19" t="str">
        <f t="shared" si="4"/>
        <v/>
      </c>
      <c r="AA22" s="19" t="str">
        <f t="shared" si="5"/>
        <v>N</v>
      </c>
      <c r="AB22" s="19" t="str">
        <f t="shared" si="6"/>
        <v>N</v>
      </c>
    </row>
    <row r="23" spans="1:28" ht="94.5">
      <c r="A23" s="29" t="s">
        <v>14</v>
      </c>
      <c r="B23" s="29" t="s">
        <v>58</v>
      </c>
      <c r="C23" s="30" t="s">
        <v>62</v>
      </c>
      <c r="D23" s="30" t="s">
        <v>279</v>
      </c>
      <c r="E23" s="54" t="s">
        <v>423</v>
      </c>
      <c r="F23" s="27"/>
      <c r="G23" s="27"/>
      <c r="H23" s="28"/>
      <c r="I23" s="31" t="s">
        <v>17</v>
      </c>
      <c r="J23" s="62" t="str">
        <f t="shared" si="2"/>
        <v>Y</v>
      </c>
      <c r="K23" s="62" t="str">
        <f t="shared" si="1"/>
        <v>Y</v>
      </c>
      <c r="L23" s="62" t="str">
        <f t="shared" si="1"/>
        <v>Y</v>
      </c>
      <c r="M23" s="46" t="s">
        <v>10</v>
      </c>
      <c r="N23" s="46" t="s">
        <v>10</v>
      </c>
      <c r="O23" s="46" t="s">
        <v>10</v>
      </c>
      <c r="P23" s="46" t="s">
        <v>10</v>
      </c>
      <c r="Q23" s="46" t="s">
        <v>10</v>
      </c>
      <c r="S23" s="13" t="b">
        <v>1</v>
      </c>
      <c r="T23" s="13" t="b">
        <v>1</v>
      </c>
      <c r="U23" s="13" t="b">
        <v>1</v>
      </c>
      <c r="V23" s="63" t="b">
        <v>1</v>
      </c>
      <c r="W23" s="63" t="b">
        <v>1</v>
      </c>
      <c r="X23" s="63" t="b">
        <v>1</v>
      </c>
      <c r="Y23" s="19" t="str">
        <f t="shared" si="3"/>
        <v/>
      </c>
      <c r="Z23" s="19" t="str">
        <f t="shared" si="4"/>
        <v/>
      </c>
      <c r="AA23" s="19" t="str">
        <f t="shared" si="5"/>
        <v>N</v>
      </c>
      <c r="AB23" s="19" t="str">
        <f t="shared" si="6"/>
        <v>N</v>
      </c>
    </row>
    <row r="24" spans="1:28" ht="78.75">
      <c r="A24" s="29" t="s">
        <v>14</v>
      </c>
      <c r="B24" s="29" t="s">
        <v>58</v>
      </c>
      <c r="C24" s="30" t="s">
        <v>280</v>
      </c>
      <c r="D24" s="30" t="s">
        <v>225</v>
      </c>
      <c r="E24" s="30" t="s">
        <v>281</v>
      </c>
      <c r="F24" s="44"/>
      <c r="G24" s="27"/>
      <c r="H24" s="28"/>
      <c r="I24" s="31" t="s">
        <v>17</v>
      </c>
      <c r="J24" s="62" t="str">
        <f t="shared" si="2"/>
        <v>Y</v>
      </c>
      <c r="K24" s="62" t="str">
        <f t="shared" si="1"/>
        <v>Y</v>
      </c>
      <c r="L24" s="62" t="str">
        <f t="shared" si="1"/>
        <v/>
      </c>
      <c r="M24" s="46" t="s">
        <v>10</v>
      </c>
      <c r="N24" s="46" t="s">
        <v>10</v>
      </c>
      <c r="O24" s="46" t="s">
        <v>10</v>
      </c>
      <c r="P24" s="46" t="s">
        <v>10</v>
      </c>
      <c r="Q24" s="46" t="s">
        <v>10</v>
      </c>
      <c r="S24" s="13" t="b">
        <v>1</v>
      </c>
      <c r="T24" s="13" t="b">
        <v>1</v>
      </c>
      <c r="U24" s="13" t="b">
        <v>0</v>
      </c>
      <c r="V24" s="63" t="b">
        <v>1</v>
      </c>
      <c r="W24" s="63" t="b">
        <v>1</v>
      </c>
      <c r="X24" s="63" t="b">
        <v>0</v>
      </c>
      <c r="Y24" s="19" t="str">
        <f t="shared" si="3"/>
        <v/>
      </c>
      <c r="Z24" s="19" t="str">
        <f t="shared" si="4"/>
        <v/>
      </c>
      <c r="AA24" s="19" t="str">
        <f t="shared" si="5"/>
        <v>N</v>
      </c>
      <c r="AB24" s="19" t="str">
        <f t="shared" si="6"/>
        <v>N</v>
      </c>
    </row>
    <row r="25" spans="1:28" ht="110.25">
      <c r="A25" s="29" t="s">
        <v>14</v>
      </c>
      <c r="B25" s="29" t="s">
        <v>58</v>
      </c>
      <c r="C25" s="30" t="s">
        <v>60</v>
      </c>
      <c r="D25" s="30" t="s">
        <v>224</v>
      </c>
      <c r="E25" s="54" t="s">
        <v>424</v>
      </c>
      <c r="F25" s="27"/>
      <c r="G25" s="27"/>
      <c r="H25" s="28"/>
      <c r="I25" s="31" t="s">
        <v>18</v>
      </c>
      <c r="J25" s="62" t="str">
        <f t="shared" si="2"/>
        <v>Y</v>
      </c>
      <c r="K25" s="62" t="str">
        <f t="shared" si="1"/>
        <v>Y</v>
      </c>
      <c r="L25" s="62" t="str">
        <f t="shared" si="1"/>
        <v/>
      </c>
      <c r="M25" s="46" t="s">
        <v>10</v>
      </c>
      <c r="N25" s="46" t="s">
        <v>10</v>
      </c>
      <c r="O25" s="46" t="s">
        <v>10</v>
      </c>
      <c r="P25" s="46" t="s">
        <v>10</v>
      </c>
      <c r="Q25" s="46" t="s">
        <v>10</v>
      </c>
      <c r="S25" s="13" t="b">
        <v>1</v>
      </c>
      <c r="T25" s="13" t="b">
        <v>1</v>
      </c>
      <c r="U25" s="13" t="b">
        <v>0</v>
      </c>
      <c r="V25" s="63" t="b">
        <v>1</v>
      </c>
      <c r="W25" s="63" t="b">
        <v>1</v>
      </c>
      <c r="X25" s="63" t="b">
        <v>0</v>
      </c>
      <c r="Y25" s="19" t="str">
        <f t="shared" si="3"/>
        <v/>
      </c>
      <c r="Z25" s="19" t="str">
        <f t="shared" si="4"/>
        <v/>
      </c>
      <c r="AA25" s="19" t="str">
        <f t="shared" si="5"/>
        <v>N</v>
      </c>
      <c r="AB25" s="19" t="str">
        <f t="shared" si="6"/>
        <v>N</v>
      </c>
    </row>
    <row r="26" spans="1:28" ht="63">
      <c r="A26" s="29" t="s">
        <v>14</v>
      </c>
      <c r="B26" s="29" t="s">
        <v>58</v>
      </c>
      <c r="C26" s="30" t="s">
        <v>59</v>
      </c>
      <c r="D26" s="30" t="s">
        <v>226</v>
      </c>
      <c r="E26" s="30" t="s">
        <v>48</v>
      </c>
      <c r="F26" s="27"/>
      <c r="G26" s="27"/>
      <c r="H26" s="28"/>
      <c r="I26" s="31" t="s">
        <v>18</v>
      </c>
      <c r="J26" s="62" t="str">
        <f t="shared" si="2"/>
        <v>Y</v>
      </c>
      <c r="K26" s="62" t="str">
        <f t="shared" ref="K26:L84" si="7">IF(T26=TRUE,"Y","")</f>
        <v>Y</v>
      </c>
      <c r="L26" s="62" t="str">
        <f t="shared" si="7"/>
        <v/>
      </c>
      <c r="M26" s="46" t="s">
        <v>10</v>
      </c>
      <c r="N26" s="46" t="s">
        <v>10</v>
      </c>
      <c r="O26" s="46" t="s">
        <v>10</v>
      </c>
      <c r="P26" s="46" t="s">
        <v>10</v>
      </c>
      <c r="Q26" s="46" t="s">
        <v>10</v>
      </c>
      <c r="S26" s="13" t="b">
        <v>1</v>
      </c>
      <c r="T26" s="13" t="b">
        <v>1</v>
      </c>
      <c r="U26" s="13" t="b">
        <v>0</v>
      </c>
      <c r="V26" s="63" t="b">
        <v>1</v>
      </c>
      <c r="W26" s="63" t="b">
        <v>1</v>
      </c>
      <c r="X26" s="63" t="b">
        <v>0</v>
      </c>
      <c r="Y26" s="19" t="str">
        <f t="shared" si="3"/>
        <v/>
      </c>
      <c r="Z26" s="19" t="str">
        <f t="shared" si="4"/>
        <v/>
      </c>
      <c r="AA26" s="19" t="str">
        <f t="shared" si="5"/>
        <v>N</v>
      </c>
      <c r="AB26" s="19" t="str">
        <f t="shared" si="6"/>
        <v>N</v>
      </c>
    </row>
    <row r="27" spans="1:28" ht="63">
      <c r="A27" s="29" t="s">
        <v>14</v>
      </c>
      <c r="B27" s="29" t="s">
        <v>58</v>
      </c>
      <c r="C27" s="30" t="s">
        <v>61</v>
      </c>
      <c r="D27" s="30" t="s">
        <v>227</v>
      </c>
      <c r="E27" s="54" t="s">
        <v>425</v>
      </c>
      <c r="F27" s="36"/>
      <c r="G27" s="27"/>
      <c r="H27" s="28"/>
      <c r="I27" s="31" t="s">
        <v>18</v>
      </c>
      <c r="J27" s="62" t="str">
        <f t="shared" si="2"/>
        <v>Y</v>
      </c>
      <c r="K27" s="62" t="str">
        <f t="shared" si="7"/>
        <v/>
      </c>
      <c r="L27" s="62" t="str">
        <f t="shared" si="7"/>
        <v/>
      </c>
      <c r="M27" s="46" t="s">
        <v>10</v>
      </c>
      <c r="N27" s="46" t="s">
        <v>10</v>
      </c>
      <c r="O27" s="46" t="s">
        <v>10</v>
      </c>
      <c r="P27" s="46" t="s">
        <v>10</v>
      </c>
      <c r="Q27" s="46" t="s">
        <v>10</v>
      </c>
      <c r="S27" s="13" t="b">
        <v>1</v>
      </c>
      <c r="T27" s="13" t="b">
        <v>0</v>
      </c>
      <c r="U27" s="13" t="b">
        <v>0</v>
      </c>
      <c r="V27" s="63" t="b">
        <v>1</v>
      </c>
      <c r="W27" s="63" t="b">
        <v>0</v>
      </c>
      <c r="X27" s="63" t="b">
        <v>0</v>
      </c>
      <c r="Y27" s="19" t="str">
        <f t="shared" si="3"/>
        <v/>
      </c>
      <c r="Z27" s="19" t="str">
        <f t="shared" si="4"/>
        <v/>
      </c>
      <c r="AA27" s="19" t="str">
        <f t="shared" si="5"/>
        <v>N</v>
      </c>
      <c r="AB27" s="19" t="str">
        <f t="shared" si="6"/>
        <v>N</v>
      </c>
    </row>
    <row r="28" spans="1:28" ht="47.25">
      <c r="A28" s="29" t="s">
        <v>14</v>
      </c>
      <c r="B28" s="29" t="s">
        <v>471</v>
      </c>
      <c r="C28" s="30" t="s">
        <v>472</v>
      </c>
      <c r="D28" s="30" t="s">
        <v>473</v>
      </c>
      <c r="E28" s="54" t="s">
        <v>474</v>
      </c>
      <c r="F28" s="36"/>
      <c r="G28" s="27"/>
      <c r="H28" s="28"/>
      <c r="I28" s="31" t="s">
        <v>475</v>
      </c>
      <c r="J28" s="62" t="str">
        <f t="shared" si="2"/>
        <v>Y</v>
      </c>
      <c r="K28" s="62" t="str">
        <f t="shared" si="7"/>
        <v>Y</v>
      </c>
      <c r="L28" s="62" t="str">
        <f t="shared" si="7"/>
        <v>Y</v>
      </c>
      <c r="M28" s="46" t="s">
        <v>10</v>
      </c>
      <c r="N28" s="46" t="s">
        <v>10</v>
      </c>
      <c r="O28" s="46" t="s">
        <v>10</v>
      </c>
      <c r="P28" s="46" t="s">
        <v>10</v>
      </c>
      <c r="Q28" s="46" t="s">
        <v>10</v>
      </c>
      <c r="S28" s="13" t="b">
        <v>1</v>
      </c>
      <c r="T28" s="13" t="b">
        <v>1</v>
      </c>
      <c r="U28" s="13" t="b">
        <v>1</v>
      </c>
      <c r="V28" s="63" t="b">
        <v>1</v>
      </c>
      <c r="W28" s="63" t="b">
        <v>1</v>
      </c>
      <c r="X28" s="63" t="b">
        <v>1</v>
      </c>
      <c r="Y28" s="19" t="str">
        <f t="shared" si="3"/>
        <v/>
      </c>
      <c r="Z28" s="19" t="str">
        <f t="shared" si="4"/>
        <v/>
      </c>
      <c r="AA28" s="19" t="str">
        <f t="shared" si="5"/>
        <v>N</v>
      </c>
      <c r="AB28" s="19" t="str">
        <f t="shared" si="6"/>
        <v>N</v>
      </c>
    </row>
    <row r="29" spans="1:28" ht="45">
      <c r="A29" s="29" t="s">
        <v>63</v>
      </c>
      <c r="B29" s="29" t="s">
        <v>67</v>
      </c>
      <c r="C29" s="55" t="s">
        <v>67</v>
      </c>
      <c r="D29" s="55"/>
      <c r="E29" s="56" t="s">
        <v>426</v>
      </c>
      <c r="F29" s="45"/>
      <c r="G29" s="27"/>
      <c r="H29" s="28"/>
      <c r="I29" s="47" t="s">
        <v>17</v>
      </c>
      <c r="J29" s="62" t="str">
        <f t="shared" si="2"/>
        <v>Y</v>
      </c>
      <c r="K29" s="62" t="str">
        <f t="shared" si="7"/>
        <v>Y</v>
      </c>
      <c r="L29" s="62" t="str">
        <f t="shared" si="7"/>
        <v/>
      </c>
      <c r="M29" s="46" t="s">
        <v>10</v>
      </c>
      <c r="N29" s="46" t="s">
        <v>10</v>
      </c>
      <c r="O29" s="46"/>
      <c r="P29" s="46" t="s">
        <v>10</v>
      </c>
      <c r="Q29" s="46"/>
      <c r="S29" s="13" t="b">
        <v>1</v>
      </c>
      <c r="T29" s="13" t="b">
        <v>1</v>
      </c>
      <c r="U29" s="13" t="b">
        <v>0</v>
      </c>
      <c r="V29" s="63" t="b">
        <v>1</v>
      </c>
      <c r="W29" s="63" t="b">
        <v>1</v>
      </c>
      <c r="X29" s="63" t="b">
        <v>0</v>
      </c>
      <c r="Y29" s="19" t="str">
        <f t="shared" si="3"/>
        <v/>
      </c>
      <c r="Z29" s="19" t="str">
        <f t="shared" si="4"/>
        <v/>
      </c>
      <c r="AA29" s="19" t="str">
        <f t="shared" si="5"/>
        <v>N</v>
      </c>
      <c r="AB29" s="19" t="str">
        <f t="shared" si="6"/>
        <v>N</v>
      </c>
    </row>
    <row r="30" spans="1:28" ht="236.25">
      <c r="A30" s="29" t="s">
        <v>63</v>
      </c>
      <c r="B30" s="29" t="s">
        <v>65</v>
      </c>
      <c r="C30" s="30" t="s">
        <v>66</v>
      </c>
      <c r="D30" s="30" t="s">
        <v>228</v>
      </c>
      <c r="E30" s="30" t="s">
        <v>215</v>
      </c>
      <c r="F30" s="45"/>
      <c r="G30" s="27"/>
      <c r="H30" s="28"/>
      <c r="I30" s="31" t="s">
        <v>19</v>
      </c>
      <c r="J30" s="62" t="str">
        <f t="shared" si="2"/>
        <v>Y</v>
      </c>
      <c r="K30" s="62" t="str">
        <f t="shared" si="7"/>
        <v>Y</v>
      </c>
      <c r="L30" s="62" t="str">
        <f t="shared" si="7"/>
        <v/>
      </c>
      <c r="M30" s="46"/>
      <c r="N30" s="46" t="s">
        <v>10</v>
      </c>
      <c r="O30" s="46" t="s">
        <v>10</v>
      </c>
      <c r="P30" s="46" t="s">
        <v>10</v>
      </c>
      <c r="Q30" s="46" t="s">
        <v>10</v>
      </c>
      <c r="S30" s="13" t="b">
        <v>1</v>
      </c>
      <c r="T30" s="13" t="b">
        <v>1</v>
      </c>
      <c r="U30" s="13" t="b">
        <v>0</v>
      </c>
      <c r="V30" s="63" t="b">
        <v>1</v>
      </c>
      <c r="W30" s="63" t="b">
        <v>1</v>
      </c>
      <c r="X30" s="63" t="b">
        <v>0</v>
      </c>
      <c r="Y30" s="19" t="str">
        <f t="shared" si="3"/>
        <v/>
      </c>
      <c r="Z30" s="19" t="str">
        <f t="shared" si="4"/>
        <v/>
      </c>
      <c r="AA30" s="19" t="str">
        <f t="shared" si="5"/>
        <v>N</v>
      </c>
      <c r="AB30" s="19" t="str">
        <f t="shared" si="6"/>
        <v>N</v>
      </c>
    </row>
    <row r="31" spans="1:28" ht="110.25">
      <c r="A31" s="29" t="s">
        <v>63</v>
      </c>
      <c r="B31" s="29" t="s">
        <v>65</v>
      </c>
      <c r="C31" s="30" t="s">
        <v>71</v>
      </c>
      <c r="D31" s="30" t="s">
        <v>398</v>
      </c>
      <c r="E31" s="54" t="s">
        <v>427</v>
      </c>
      <c r="F31" s="36"/>
      <c r="G31" s="27"/>
      <c r="H31" s="28"/>
      <c r="I31" s="31" t="s">
        <v>20</v>
      </c>
      <c r="J31" s="62" t="str">
        <f t="shared" si="2"/>
        <v>Y</v>
      </c>
      <c r="K31" s="62" t="str">
        <f t="shared" si="7"/>
        <v>Y</v>
      </c>
      <c r="L31" s="62" t="str">
        <f t="shared" si="7"/>
        <v/>
      </c>
      <c r="M31" s="46"/>
      <c r="N31" s="46" t="s">
        <v>10</v>
      </c>
      <c r="O31" s="46"/>
      <c r="P31" s="46" t="s">
        <v>10</v>
      </c>
      <c r="Q31" s="46" t="s">
        <v>10</v>
      </c>
      <c r="S31" s="13" t="b">
        <v>1</v>
      </c>
      <c r="T31" s="13" t="b">
        <v>1</v>
      </c>
      <c r="U31" s="13" t="b">
        <v>0</v>
      </c>
      <c r="V31" s="63" t="b">
        <v>1</v>
      </c>
      <c r="W31" s="63" t="b">
        <v>1</v>
      </c>
      <c r="X31" s="63" t="b">
        <v>0</v>
      </c>
      <c r="Y31" s="19" t="str">
        <f t="shared" si="3"/>
        <v/>
      </c>
      <c r="Z31" s="19" t="str">
        <f t="shared" si="4"/>
        <v/>
      </c>
      <c r="AA31" s="19" t="str">
        <f t="shared" si="5"/>
        <v>N</v>
      </c>
      <c r="AB31" s="19" t="str">
        <f t="shared" si="6"/>
        <v>N</v>
      </c>
    </row>
    <row r="32" spans="1:28" ht="94.5">
      <c r="A32" s="29" t="s">
        <v>2</v>
      </c>
      <c r="B32" s="29" t="s">
        <v>75</v>
      </c>
      <c r="C32" s="30" t="s">
        <v>76</v>
      </c>
      <c r="D32" s="54" t="s">
        <v>428</v>
      </c>
      <c r="E32" s="30"/>
      <c r="F32" s="28"/>
      <c r="G32" s="27"/>
      <c r="H32" s="28"/>
      <c r="I32" s="32" t="s">
        <v>26</v>
      </c>
      <c r="J32" s="62" t="str">
        <f t="shared" si="2"/>
        <v>Y</v>
      </c>
      <c r="K32" s="62" t="str">
        <f t="shared" si="7"/>
        <v/>
      </c>
      <c r="L32" s="62" t="str">
        <f t="shared" si="7"/>
        <v/>
      </c>
      <c r="M32" s="46"/>
      <c r="N32" s="46" t="s">
        <v>10</v>
      </c>
      <c r="O32" s="46"/>
      <c r="P32" s="46" t="s">
        <v>10</v>
      </c>
      <c r="Q32" s="46" t="s">
        <v>10</v>
      </c>
      <c r="S32" s="13" t="b">
        <v>1</v>
      </c>
      <c r="T32" s="13" t="b">
        <v>0</v>
      </c>
      <c r="U32" s="13" t="b">
        <v>0</v>
      </c>
      <c r="V32" s="63" t="b">
        <v>1</v>
      </c>
      <c r="W32" s="63" t="b">
        <v>0</v>
      </c>
      <c r="X32" s="63" t="b">
        <v>0</v>
      </c>
      <c r="Y32" s="19" t="str">
        <f t="shared" si="3"/>
        <v/>
      </c>
      <c r="Z32" s="19" t="str">
        <f t="shared" si="4"/>
        <v/>
      </c>
      <c r="AA32" s="19" t="str">
        <f t="shared" si="5"/>
        <v>N</v>
      </c>
      <c r="AB32" s="19" t="str">
        <f t="shared" si="6"/>
        <v>N</v>
      </c>
    </row>
    <row r="33" spans="1:28" ht="189">
      <c r="A33" s="29" t="s">
        <v>2</v>
      </c>
      <c r="B33" s="29" t="s">
        <v>75</v>
      </c>
      <c r="C33" s="30" t="s">
        <v>77</v>
      </c>
      <c r="D33" s="30" t="s">
        <v>232</v>
      </c>
      <c r="E33" s="58" t="s">
        <v>78</v>
      </c>
      <c r="F33" s="28"/>
      <c r="G33" s="27"/>
      <c r="H33" s="28"/>
      <c r="I33" s="31" t="s">
        <v>187</v>
      </c>
      <c r="J33" s="62" t="str">
        <f t="shared" si="2"/>
        <v>Y</v>
      </c>
      <c r="K33" s="62" t="str">
        <f t="shared" si="7"/>
        <v>Y</v>
      </c>
      <c r="L33" s="62" t="str">
        <f t="shared" si="7"/>
        <v/>
      </c>
      <c r="M33" s="46"/>
      <c r="N33" s="46" t="s">
        <v>10</v>
      </c>
      <c r="O33" s="46"/>
      <c r="P33" s="46" t="s">
        <v>10</v>
      </c>
      <c r="Q33" s="46" t="s">
        <v>10</v>
      </c>
      <c r="S33" s="13" t="b">
        <v>1</v>
      </c>
      <c r="T33" s="13" t="b">
        <v>1</v>
      </c>
      <c r="U33" s="13" t="b">
        <v>0</v>
      </c>
      <c r="V33" s="63" t="b">
        <v>1</v>
      </c>
      <c r="W33" s="63" t="b">
        <v>1</v>
      </c>
      <c r="X33" s="63" t="b">
        <v>0</v>
      </c>
      <c r="Y33" s="19" t="str">
        <f t="shared" si="3"/>
        <v/>
      </c>
      <c r="Z33" s="19" t="str">
        <f t="shared" si="4"/>
        <v/>
      </c>
      <c r="AA33" s="19" t="str">
        <f t="shared" si="5"/>
        <v>N</v>
      </c>
      <c r="AB33" s="19" t="str">
        <f t="shared" si="6"/>
        <v>N</v>
      </c>
    </row>
    <row r="34" spans="1:28" ht="78.75">
      <c r="A34" s="29" t="s">
        <v>14</v>
      </c>
      <c r="B34" s="29" t="s">
        <v>258</v>
      </c>
      <c r="C34" s="30" t="s">
        <v>259</v>
      </c>
      <c r="D34" s="54" t="s">
        <v>429</v>
      </c>
      <c r="E34" s="54" t="s">
        <v>430</v>
      </c>
      <c r="F34" s="36"/>
      <c r="G34" s="27"/>
      <c r="H34" s="28"/>
      <c r="I34" s="31" t="s">
        <v>52</v>
      </c>
      <c r="J34" s="62" t="str">
        <f t="shared" si="2"/>
        <v>Y</v>
      </c>
      <c r="K34" s="62" t="str">
        <f t="shared" si="7"/>
        <v>Y</v>
      </c>
      <c r="L34" s="62" t="str">
        <f t="shared" si="7"/>
        <v/>
      </c>
      <c r="M34" s="46" t="s">
        <v>10</v>
      </c>
      <c r="N34" s="46" t="s">
        <v>10</v>
      </c>
      <c r="O34" s="46" t="s">
        <v>10</v>
      </c>
      <c r="P34" s="46" t="s">
        <v>10</v>
      </c>
      <c r="Q34" s="46" t="s">
        <v>10</v>
      </c>
      <c r="S34" s="13" t="b">
        <v>1</v>
      </c>
      <c r="T34" s="13" t="b">
        <v>1</v>
      </c>
      <c r="U34" s="13" t="b">
        <v>0</v>
      </c>
      <c r="V34" s="63" t="b">
        <v>1</v>
      </c>
      <c r="W34" s="63" t="b">
        <v>1</v>
      </c>
      <c r="X34" s="63" t="b">
        <v>0</v>
      </c>
      <c r="Y34" s="19" t="str">
        <f t="shared" si="3"/>
        <v/>
      </c>
      <c r="Z34" s="19" t="str">
        <f t="shared" si="4"/>
        <v/>
      </c>
      <c r="AA34" s="19" t="str">
        <f t="shared" si="5"/>
        <v>N</v>
      </c>
      <c r="AB34" s="19" t="str">
        <f t="shared" si="6"/>
        <v>N</v>
      </c>
    </row>
    <row r="35" spans="1:28" ht="126">
      <c r="A35" s="29" t="s">
        <v>14</v>
      </c>
      <c r="B35" s="29" t="s">
        <v>56</v>
      </c>
      <c r="C35" s="30" t="s">
        <v>57</v>
      </c>
      <c r="D35" s="30" t="s">
        <v>223</v>
      </c>
      <c r="E35" s="54" t="s">
        <v>431</v>
      </c>
      <c r="F35" s="36"/>
      <c r="G35" s="27"/>
      <c r="H35" s="28"/>
      <c r="I35" s="31" t="s">
        <v>187</v>
      </c>
      <c r="J35" s="62" t="str">
        <f t="shared" si="2"/>
        <v>Y</v>
      </c>
      <c r="K35" s="62" t="str">
        <f t="shared" si="7"/>
        <v>Y</v>
      </c>
      <c r="L35" s="62" t="str">
        <f t="shared" si="7"/>
        <v>Y</v>
      </c>
      <c r="M35" s="46" t="s">
        <v>10</v>
      </c>
      <c r="N35" s="46" t="s">
        <v>10</v>
      </c>
      <c r="O35" s="46"/>
      <c r="P35" s="46" t="s">
        <v>10</v>
      </c>
      <c r="Q35" s="46"/>
      <c r="S35" s="13" t="b">
        <v>1</v>
      </c>
      <c r="T35" s="13" t="b">
        <v>1</v>
      </c>
      <c r="U35" s="13" t="b">
        <v>1</v>
      </c>
      <c r="V35" s="63" t="b">
        <v>1</v>
      </c>
      <c r="W35" s="63" t="b">
        <v>1</v>
      </c>
      <c r="X35" s="63" t="b">
        <v>1</v>
      </c>
      <c r="Y35" s="19" t="str">
        <f t="shared" si="3"/>
        <v/>
      </c>
      <c r="Z35" s="19" t="str">
        <f t="shared" si="4"/>
        <v/>
      </c>
      <c r="AA35" s="19" t="str">
        <f t="shared" si="5"/>
        <v>N</v>
      </c>
      <c r="AB35" s="19" t="str">
        <f t="shared" si="6"/>
        <v>N</v>
      </c>
    </row>
    <row r="36" spans="1:28" ht="31.5">
      <c r="A36" s="29" t="s">
        <v>100</v>
      </c>
      <c r="B36" s="29" t="s">
        <v>101</v>
      </c>
      <c r="C36" s="30" t="s">
        <v>102</v>
      </c>
      <c r="D36" s="30"/>
      <c r="E36" s="30" t="s">
        <v>48</v>
      </c>
      <c r="F36" s="28"/>
      <c r="G36" s="27"/>
      <c r="H36" s="28"/>
      <c r="I36" s="32" t="s">
        <v>33</v>
      </c>
      <c r="J36" s="62" t="str">
        <f t="shared" si="2"/>
        <v>Y</v>
      </c>
      <c r="K36" s="62" t="str">
        <f t="shared" si="7"/>
        <v/>
      </c>
      <c r="L36" s="62" t="str">
        <f t="shared" si="7"/>
        <v/>
      </c>
      <c r="M36" s="46" t="s">
        <v>10</v>
      </c>
      <c r="N36" s="46" t="s">
        <v>10</v>
      </c>
      <c r="O36" s="46" t="s">
        <v>10</v>
      </c>
      <c r="P36" s="46" t="s">
        <v>10</v>
      </c>
      <c r="Q36" s="46" t="s">
        <v>10</v>
      </c>
      <c r="S36" s="13" t="b">
        <v>1</v>
      </c>
      <c r="T36" s="13" t="b">
        <v>0</v>
      </c>
      <c r="U36" s="13" t="b">
        <v>0</v>
      </c>
      <c r="V36" s="63" t="b">
        <v>1</v>
      </c>
      <c r="W36" s="63" t="b">
        <v>0</v>
      </c>
      <c r="X36" s="63" t="b">
        <v>0</v>
      </c>
      <c r="Y36" s="19" t="str">
        <f t="shared" si="3"/>
        <v/>
      </c>
      <c r="Z36" s="19" t="str">
        <f t="shared" si="4"/>
        <v/>
      </c>
      <c r="AA36" s="19" t="str">
        <f t="shared" si="5"/>
        <v>N</v>
      </c>
      <c r="AB36" s="19" t="str">
        <f t="shared" si="6"/>
        <v>N</v>
      </c>
    </row>
    <row r="37" spans="1:28" ht="78.75">
      <c r="A37" s="29" t="s">
        <v>100</v>
      </c>
      <c r="B37" s="29" t="s">
        <v>103</v>
      </c>
      <c r="C37" s="30" t="s">
        <v>104</v>
      </c>
      <c r="D37" s="30" t="s">
        <v>238</v>
      </c>
      <c r="E37" s="54" t="s">
        <v>432</v>
      </c>
      <c r="F37" s="28"/>
      <c r="G37" s="27"/>
      <c r="H37" s="28"/>
      <c r="I37" s="32" t="s">
        <v>34</v>
      </c>
      <c r="J37" s="62" t="str">
        <f t="shared" si="2"/>
        <v>Y</v>
      </c>
      <c r="K37" s="62" t="str">
        <f t="shared" si="7"/>
        <v/>
      </c>
      <c r="L37" s="62" t="str">
        <f t="shared" si="7"/>
        <v/>
      </c>
      <c r="M37" s="46" t="s">
        <v>10</v>
      </c>
      <c r="N37" s="46" t="s">
        <v>10</v>
      </c>
      <c r="O37" s="46"/>
      <c r="P37" s="46" t="s">
        <v>10</v>
      </c>
      <c r="Q37" s="46" t="s">
        <v>10</v>
      </c>
      <c r="S37" s="13" t="b">
        <v>1</v>
      </c>
      <c r="T37" s="13" t="b">
        <v>0</v>
      </c>
      <c r="U37" s="13" t="b">
        <v>0</v>
      </c>
      <c r="V37" s="63" t="b">
        <v>1</v>
      </c>
      <c r="W37" s="63" t="b">
        <v>0</v>
      </c>
      <c r="X37" s="63" t="b">
        <v>0</v>
      </c>
      <c r="Y37" s="19" t="str">
        <f t="shared" si="3"/>
        <v/>
      </c>
      <c r="Z37" s="19" t="str">
        <f t="shared" si="4"/>
        <v/>
      </c>
      <c r="AA37" s="19" t="str">
        <f t="shared" si="5"/>
        <v>N</v>
      </c>
      <c r="AB37" s="19" t="str">
        <f t="shared" si="6"/>
        <v>N</v>
      </c>
    </row>
    <row r="38" spans="1:28" ht="78.75">
      <c r="A38" s="29" t="s">
        <v>100</v>
      </c>
      <c r="B38" s="29" t="s">
        <v>35</v>
      </c>
      <c r="C38" s="30" t="s">
        <v>212</v>
      </c>
      <c r="D38" s="30"/>
      <c r="E38" s="54" t="s">
        <v>433</v>
      </c>
      <c r="F38" s="28"/>
      <c r="G38" s="27"/>
      <c r="H38" s="28"/>
      <c r="I38" s="32" t="s">
        <v>36</v>
      </c>
      <c r="J38" s="62" t="str">
        <f t="shared" si="2"/>
        <v>Y</v>
      </c>
      <c r="K38" s="62" t="str">
        <f t="shared" si="7"/>
        <v/>
      </c>
      <c r="L38" s="62" t="str">
        <f t="shared" si="7"/>
        <v/>
      </c>
      <c r="M38" s="46" t="s">
        <v>10</v>
      </c>
      <c r="N38" s="46" t="s">
        <v>10</v>
      </c>
      <c r="O38" s="46"/>
      <c r="P38" s="46" t="s">
        <v>10</v>
      </c>
      <c r="Q38" s="46" t="s">
        <v>10</v>
      </c>
      <c r="S38" s="13" t="b">
        <v>1</v>
      </c>
      <c r="T38" s="13" t="b">
        <v>0</v>
      </c>
      <c r="U38" s="13" t="b">
        <v>0</v>
      </c>
      <c r="V38" s="63" t="b">
        <v>1</v>
      </c>
      <c r="W38" s="63" t="b">
        <v>0</v>
      </c>
      <c r="X38" s="63" t="b">
        <v>0</v>
      </c>
      <c r="Y38" s="19" t="str">
        <f t="shared" si="3"/>
        <v/>
      </c>
      <c r="Z38" s="19" t="str">
        <f t="shared" si="4"/>
        <v/>
      </c>
      <c r="AA38" s="19" t="str">
        <f t="shared" si="5"/>
        <v>N</v>
      </c>
      <c r="AB38" s="19" t="str">
        <f t="shared" si="6"/>
        <v>N</v>
      </c>
    </row>
    <row r="39" spans="1:28" ht="78.75">
      <c r="A39" s="29" t="s">
        <v>100</v>
      </c>
      <c r="B39" s="29" t="s">
        <v>35</v>
      </c>
      <c r="C39" s="30" t="s">
        <v>213</v>
      </c>
      <c r="D39" s="30"/>
      <c r="E39" s="57" t="s">
        <v>434</v>
      </c>
      <c r="F39" s="28"/>
      <c r="G39" s="27"/>
      <c r="H39" s="28"/>
      <c r="I39" s="32" t="s">
        <v>36</v>
      </c>
      <c r="J39" s="62" t="str">
        <f t="shared" si="2"/>
        <v>Y</v>
      </c>
      <c r="K39" s="62" t="str">
        <f t="shared" si="7"/>
        <v/>
      </c>
      <c r="L39" s="62" t="str">
        <f t="shared" si="7"/>
        <v/>
      </c>
      <c r="M39" s="46" t="s">
        <v>10</v>
      </c>
      <c r="N39" s="46" t="s">
        <v>10</v>
      </c>
      <c r="O39" s="46"/>
      <c r="P39" s="46" t="s">
        <v>10</v>
      </c>
      <c r="Q39" s="46" t="s">
        <v>10</v>
      </c>
      <c r="S39" s="13" t="b">
        <v>1</v>
      </c>
      <c r="T39" s="13" t="b">
        <v>0</v>
      </c>
      <c r="U39" s="13" t="b">
        <v>0</v>
      </c>
      <c r="V39" s="63" t="b">
        <v>1</v>
      </c>
      <c r="W39" s="63" t="b">
        <v>0</v>
      </c>
      <c r="X39" s="63" t="b">
        <v>0</v>
      </c>
      <c r="Y39" s="19" t="str">
        <f t="shared" si="3"/>
        <v/>
      </c>
      <c r="Z39" s="19" t="str">
        <f t="shared" si="4"/>
        <v/>
      </c>
      <c r="AA39" s="19" t="str">
        <f t="shared" si="5"/>
        <v>N</v>
      </c>
      <c r="AB39" s="19" t="str">
        <f t="shared" si="6"/>
        <v>N</v>
      </c>
    </row>
    <row r="40" spans="1:28" ht="78.75">
      <c r="A40" s="29" t="s">
        <v>100</v>
      </c>
      <c r="B40" s="29" t="s">
        <v>35</v>
      </c>
      <c r="C40" s="30" t="s">
        <v>214</v>
      </c>
      <c r="D40" s="30"/>
      <c r="E40" s="57" t="s">
        <v>435</v>
      </c>
      <c r="F40" s="28"/>
      <c r="G40" s="27"/>
      <c r="H40" s="28"/>
      <c r="I40" s="32" t="s">
        <v>36</v>
      </c>
      <c r="J40" s="62" t="str">
        <f t="shared" si="2"/>
        <v>Y</v>
      </c>
      <c r="K40" s="62" t="str">
        <f t="shared" si="7"/>
        <v/>
      </c>
      <c r="L40" s="62" t="str">
        <f t="shared" si="7"/>
        <v/>
      </c>
      <c r="M40" s="46" t="s">
        <v>10</v>
      </c>
      <c r="N40" s="46" t="s">
        <v>10</v>
      </c>
      <c r="O40" s="46"/>
      <c r="P40" s="46" t="s">
        <v>10</v>
      </c>
      <c r="Q40" s="46" t="s">
        <v>10</v>
      </c>
      <c r="S40" s="13" t="b">
        <v>1</v>
      </c>
      <c r="T40" s="13" t="b">
        <v>0</v>
      </c>
      <c r="U40" s="13" t="b">
        <v>0</v>
      </c>
      <c r="V40" s="63" t="b">
        <v>1</v>
      </c>
      <c r="W40" s="63" t="b">
        <v>0</v>
      </c>
      <c r="X40" s="63" t="b">
        <v>0</v>
      </c>
      <c r="Y40" s="19" t="str">
        <f t="shared" si="3"/>
        <v/>
      </c>
      <c r="Z40" s="19" t="str">
        <f t="shared" si="4"/>
        <v/>
      </c>
      <c r="AA40" s="19" t="str">
        <f t="shared" si="5"/>
        <v>N</v>
      </c>
      <c r="AB40" s="19" t="str">
        <f t="shared" si="6"/>
        <v>N</v>
      </c>
    </row>
    <row r="41" spans="1:28" ht="78.75">
      <c r="A41" s="29" t="s">
        <v>100</v>
      </c>
      <c r="B41" s="29" t="s">
        <v>35</v>
      </c>
      <c r="C41" s="30" t="s">
        <v>391</v>
      </c>
      <c r="D41" s="30" t="s">
        <v>392</v>
      </c>
      <c r="E41" s="57" t="s">
        <v>435</v>
      </c>
      <c r="F41" s="28"/>
      <c r="G41" s="27"/>
      <c r="H41" s="28"/>
      <c r="I41" s="32" t="s">
        <v>36</v>
      </c>
      <c r="J41" s="62" t="str">
        <f t="shared" si="2"/>
        <v>Y</v>
      </c>
      <c r="K41" s="62" t="str">
        <f t="shared" si="7"/>
        <v/>
      </c>
      <c r="L41" s="62" t="str">
        <f t="shared" si="7"/>
        <v/>
      </c>
      <c r="M41" s="46" t="s">
        <v>10</v>
      </c>
      <c r="N41" s="46" t="s">
        <v>10</v>
      </c>
      <c r="O41" s="46"/>
      <c r="P41" s="46" t="s">
        <v>10</v>
      </c>
      <c r="Q41" s="46" t="s">
        <v>10</v>
      </c>
      <c r="S41" s="13" t="b">
        <v>1</v>
      </c>
      <c r="T41" s="13" t="b">
        <v>0</v>
      </c>
      <c r="U41" s="13" t="b">
        <v>0</v>
      </c>
      <c r="V41" s="63" t="b">
        <v>1</v>
      </c>
      <c r="W41" s="63" t="b">
        <v>0</v>
      </c>
      <c r="X41" s="63" t="b">
        <v>0</v>
      </c>
      <c r="Y41" s="19" t="str">
        <f t="shared" si="3"/>
        <v/>
      </c>
      <c r="Z41" s="19" t="str">
        <f t="shared" si="4"/>
        <v/>
      </c>
      <c r="AA41" s="19" t="str">
        <f t="shared" si="5"/>
        <v>N</v>
      </c>
      <c r="AB41" s="19" t="str">
        <f t="shared" si="6"/>
        <v>N</v>
      </c>
    </row>
    <row r="42" spans="1:28" ht="94.5">
      <c r="A42" s="29" t="s">
        <v>100</v>
      </c>
      <c r="B42" s="29" t="s">
        <v>106</v>
      </c>
      <c r="C42" s="30" t="s">
        <v>105</v>
      </c>
      <c r="D42" s="30" t="s">
        <v>292</v>
      </c>
      <c r="E42" s="54" t="s">
        <v>436</v>
      </c>
      <c r="F42" s="28"/>
      <c r="G42" s="27"/>
      <c r="H42" s="28"/>
      <c r="I42" s="31" t="s">
        <v>187</v>
      </c>
      <c r="J42" s="62" t="str">
        <f t="shared" si="2"/>
        <v>Y</v>
      </c>
      <c r="K42" s="62" t="str">
        <f t="shared" si="7"/>
        <v>Y</v>
      </c>
      <c r="L42" s="62" t="str">
        <f t="shared" si="7"/>
        <v/>
      </c>
      <c r="M42" s="46" t="s">
        <v>10</v>
      </c>
      <c r="N42" s="46" t="s">
        <v>10</v>
      </c>
      <c r="O42" s="46"/>
      <c r="P42" s="46" t="s">
        <v>10</v>
      </c>
      <c r="Q42" s="46" t="s">
        <v>10</v>
      </c>
      <c r="S42" s="13" t="b">
        <v>1</v>
      </c>
      <c r="T42" s="13" t="b">
        <v>1</v>
      </c>
      <c r="U42" s="13" t="b">
        <v>0</v>
      </c>
      <c r="V42" s="63" t="b">
        <v>1</v>
      </c>
      <c r="W42" s="63" t="b">
        <v>1</v>
      </c>
      <c r="X42" s="63" t="b">
        <v>0</v>
      </c>
      <c r="Y42" s="19" t="str">
        <f t="shared" si="3"/>
        <v/>
      </c>
      <c r="Z42" s="19" t="str">
        <f t="shared" si="4"/>
        <v/>
      </c>
      <c r="AA42" s="19" t="str">
        <f t="shared" si="5"/>
        <v>N</v>
      </c>
      <c r="AB42" s="19" t="str">
        <f t="shared" si="6"/>
        <v>N</v>
      </c>
    </row>
    <row r="43" spans="1:28" ht="78.75">
      <c r="A43" s="29" t="s">
        <v>100</v>
      </c>
      <c r="B43" s="29" t="s">
        <v>108</v>
      </c>
      <c r="C43" s="30" t="s">
        <v>109</v>
      </c>
      <c r="D43" s="30" t="s">
        <v>301</v>
      </c>
      <c r="E43" s="54" t="s">
        <v>437</v>
      </c>
      <c r="F43" s="28"/>
      <c r="G43" s="27"/>
      <c r="H43" s="28"/>
      <c r="I43" s="32" t="s">
        <v>38</v>
      </c>
      <c r="J43" s="62" t="str">
        <f t="shared" si="2"/>
        <v>Y</v>
      </c>
      <c r="K43" s="62" t="str">
        <f t="shared" si="7"/>
        <v>Y</v>
      </c>
      <c r="L43" s="62" t="str">
        <f t="shared" si="7"/>
        <v/>
      </c>
      <c r="M43" s="46" t="s">
        <v>10</v>
      </c>
      <c r="N43" s="46" t="s">
        <v>10</v>
      </c>
      <c r="O43" s="46"/>
      <c r="P43" s="46" t="s">
        <v>10</v>
      </c>
      <c r="Q43" s="46" t="s">
        <v>10</v>
      </c>
      <c r="S43" s="13" t="b">
        <v>1</v>
      </c>
      <c r="T43" s="13" t="b">
        <v>1</v>
      </c>
      <c r="U43" s="13" t="b">
        <v>0</v>
      </c>
      <c r="V43" s="63" t="b">
        <v>1</v>
      </c>
      <c r="W43" s="63" t="b">
        <v>1</v>
      </c>
      <c r="X43" s="63" t="b">
        <v>0</v>
      </c>
      <c r="Y43" s="19" t="str">
        <f t="shared" si="3"/>
        <v/>
      </c>
      <c r="Z43" s="19" t="str">
        <f t="shared" si="4"/>
        <v/>
      </c>
      <c r="AA43" s="19" t="str">
        <f t="shared" si="5"/>
        <v>N</v>
      </c>
      <c r="AB43" s="19" t="str">
        <f t="shared" si="6"/>
        <v>N</v>
      </c>
    </row>
    <row r="44" spans="1:28" ht="346.5">
      <c r="A44" s="29" t="s">
        <v>100</v>
      </c>
      <c r="B44" s="29" t="s">
        <v>107</v>
      </c>
      <c r="C44" s="30" t="s">
        <v>262</v>
      </c>
      <c r="D44" s="30" t="s">
        <v>399</v>
      </c>
      <c r="E44" s="30" t="s">
        <v>48</v>
      </c>
      <c r="F44" s="28"/>
      <c r="G44" s="27"/>
      <c r="H44" s="28"/>
      <c r="I44" s="32" t="s">
        <v>37</v>
      </c>
      <c r="J44" s="62" t="str">
        <f t="shared" si="2"/>
        <v>Y</v>
      </c>
      <c r="K44" s="62" t="str">
        <f t="shared" si="7"/>
        <v/>
      </c>
      <c r="L44" s="62" t="str">
        <f t="shared" si="7"/>
        <v/>
      </c>
      <c r="M44" s="46" t="s">
        <v>10</v>
      </c>
      <c r="N44" s="46" t="s">
        <v>10</v>
      </c>
      <c r="O44" s="46" t="s">
        <v>10</v>
      </c>
      <c r="P44" s="46" t="s">
        <v>10</v>
      </c>
      <c r="Q44" s="46" t="s">
        <v>10</v>
      </c>
      <c r="S44" s="13" t="b">
        <v>1</v>
      </c>
      <c r="T44" s="13" t="b">
        <v>0</v>
      </c>
      <c r="U44" s="13" t="b">
        <v>0</v>
      </c>
      <c r="V44" s="63" t="b">
        <v>1</v>
      </c>
      <c r="W44" s="63" t="b">
        <v>0</v>
      </c>
      <c r="X44" s="63" t="b">
        <v>0</v>
      </c>
      <c r="Y44" s="19" t="str">
        <f t="shared" si="3"/>
        <v/>
      </c>
      <c r="Z44" s="19" t="str">
        <f t="shared" si="4"/>
        <v/>
      </c>
      <c r="AA44" s="19" t="str">
        <f t="shared" si="5"/>
        <v>N</v>
      </c>
      <c r="AB44" s="19" t="str">
        <f t="shared" si="6"/>
        <v>N</v>
      </c>
    </row>
    <row r="45" spans="1:28" ht="31.5">
      <c r="A45" s="29" t="s">
        <v>100</v>
      </c>
      <c r="B45" s="29" t="s">
        <v>107</v>
      </c>
      <c r="C45" s="30" t="s">
        <v>263</v>
      </c>
      <c r="D45" s="30" t="s">
        <v>239</v>
      </c>
      <c r="E45" s="30" t="s">
        <v>48</v>
      </c>
      <c r="F45" s="28"/>
      <c r="G45" s="27"/>
      <c r="H45" s="28"/>
      <c r="I45" s="32" t="s">
        <v>37</v>
      </c>
      <c r="J45" s="62" t="str">
        <f t="shared" si="2"/>
        <v>Y</v>
      </c>
      <c r="K45" s="62" t="str">
        <f t="shared" si="7"/>
        <v/>
      </c>
      <c r="L45" s="62" t="str">
        <f t="shared" si="7"/>
        <v/>
      </c>
      <c r="M45" s="46" t="s">
        <v>10</v>
      </c>
      <c r="N45" s="46" t="s">
        <v>10</v>
      </c>
      <c r="O45" s="46" t="s">
        <v>10</v>
      </c>
      <c r="P45" s="46"/>
      <c r="Q45" s="46" t="s">
        <v>10</v>
      </c>
      <c r="S45" s="13" t="b">
        <v>1</v>
      </c>
      <c r="T45" s="13" t="b">
        <v>0</v>
      </c>
      <c r="U45" s="13" t="b">
        <v>0</v>
      </c>
      <c r="V45" s="63" t="b">
        <v>1</v>
      </c>
      <c r="W45" s="63" t="b">
        <v>0</v>
      </c>
      <c r="X45" s="63" t="b">
        <v>0</v>
      </c>
      <c r="Y45" s="19" t="str">
        <f t="shared" si="3"/>
        <v/>
      </c>
      <c r="Z45" s="19" t="str">
        <f t="shared" si="4"/>
        <v/>
      </c>
      <c r="AA45" s="19" t="str">
        <f t="shared" si="5"/>
        <v>N</v>
      </c>
      <c r="AB45" s="19" t="str">
        <f t="shared" si="6"/>
        <v>N</v>
      </c>
    </row>
    <row r="46" spans="1:28" ht="141.75">
      <c r="A46" s="29" t="s">
        <v>100</v>
      </c>
      <c r="B46" s="29" t="s">
        <v>106</v>
      </c>
      <c r="C46" s="30" t="s">
        <v>105</v>
      </c>
      <c r="D46" s="30" t="s">
        <v>302</v>
      </c>
      <c r="E46" s="54" t="s">
        <v>438</v>
      </c>
      <c r="F46" s="28"/>
      <c r="G46" s="27"/>
      <c r="H46" s="28"/>
      <c r="I46" s="31" t="s">
        <v>187</v>
      </c>
      <c r="J46" s="62" t="str">
        <f t="shared" si="2"/>
        <v>Y</v>
      </c>
      <c r="K46" s="62" t="str">
        <f t="shared" si="7"/>
        <v>Y</v>
      </c>
      <c r="L46" s="62" t="str">
        <f t="shared" si="7"/>
        <v/>
      </c>
      <c r="M46" s="46" t="s">
        <v>10</v>
      </c>
      <c r="N46" s="46" t="s">
        <v>10</v>
      </c>
      <c r="O46" s="46" t="s">
        <v>10</v>
      </c>
      <c r="P46" s="46" t="s">
        <v>10</v>
      </c>
      <c r="Q46" s="46" t="s">
        <v>10</v>
      </c>
      <c r="S46" s="13" t="b">
        <v>1</v>
      </c>
      <c r="T46" s="13" t="b">
        <v>1</v>
      </c>
      <c r="U46" s="13" t="b">
        <v>0</v>
      </c>
      <c r="V46" s="63" t="b">
        <v>1</v>
      </c>
      <c r="W46" s="63" t="b">
        <v>1</v>
      </c>
      <c r="X46" s="63" t="b">
        <v>0</v>
      </c>
      <c r="Y46" s="19" t="str">
        <f t="shared" si="3"/>
        <v/>
      </c>
      <c r="Z46" s="19" t="str">
        <f t="shared" si="4"/>
        <v/>
      </c>
      <c r="AA46" s="19" t="str">
        <f t="shared" si="5"/>
        <v>N</v>
      </c>
      <c r="AB46" s="19" t="str">
        <f t="shared" si="6"/>
        <v>N</v>
      </c>
    </row>
    <row r="47" spans="1:28" ht="63">
      <c r="A47" s="29" t="s">
        <v>100</v>
      </c>
      <c r="B47" s="29" t="s">
        <v>106</v>
      </c>
      <c r="C47" s="30" t="s">
        <v>303</v>
      </c>
      <c r="D47" s="30" t="s">
        <v>304</v>
      </c>
      <c r="E47" s="54" t="s">
        <v>439</v>
      </c>
      <c r="F47" s="28"/>
      <c r="G47" s="27"/>
      <c r="H47" s="28"/>
      <c r="I47" s="31" t="s">
        <v>187</v>
      </c>
      <c r="J47" s="62" t="str">
        <f t="shared" si="2"/>
        <v>Y</v>
      </c>
      <c r="K47" s="62" t="str">
        <f t="shared" si="7"/>
        <v>Y</v>
      </c>
      <c r="L47" s="62" t="str">
        <f t="shared" si="7"/>
        <v/>
      </c>
      <c r="M47" s="46"/>
      <c r="N47" s="46" t="s">
        <v>10</v>
      </c>
      <c r="O47" s="46"/>
      <c r="P47" s="46" t="s">
        <v>10</v>
      </c>
      <c r="Q47" s="46" t="s">
        <v>10</v>
      </c>
      <c r="S47" s="13" t="b">
        <v>1</v>
      </c>
      <c r="T47" s="13" t="b">
        <v>1</v>
      </c>
      <c r="U47" s="13" t="b">
        <v>0</v>
      </c>
      <c r="V47" s="63" t="b">
        <v>1</v>
      </c>
      <c r="W47" s="63" t="b">
        <v>1</v>
      </c>
      <c r="X47" s="63" t="b">
        <v>0</v>
      </c>
      <c r="Y47" s="19" t="str">
        <f t="shared" si="3"/>
        <v/>
      </c>
      <c r="Z47" s="19" t="str">
        <f t="shared" si="4"/>
        <v/>
      </c>
      <c r="AA47" s="19" t="str">
        <f t="shared" si="5"/>
        <v>N</v>
      </c>
      <c r="AB47" s="19" t="str">
        <f t="shared" si="6"/>
        <v>N</v>
      </c>
    </row>
    <row r="48" spans="1:28" ht="150">
      <c r="A48" s="29" t="s">
        <v>6</v>
      </c>
      <c r="B48" s="29" t="s">
        <v>80</v>
      </c>
      <c r="C48" s="30" t="s">
        <v>81</v>
      </c>
      <c r="D48" s="30" t="s">
        <v>400</v>
      </c>
      <c r="E48" s="54" t="s">
        <v>440</v>
      </c>
      <c r="F48" s="37"/>
      <c r="G48" s="27"/>
      <c r="H48" s="28"/>
      <c r="I48" s="32" t="s">
        <v>82</v>
      </c>
      <c r="J48" s="62" t="str">
        <f t="shared" si="2"/>
        <v>Y</v>
      </c>
      <c r="K48" s="62" t="str">
        <f t="shared" si="7"/>
        <v>Y</v>
      </c>
      <c r="L48" s="62" t="str">
        <f t="shared" si="7"/>
        <v/>
      </c>
      <c r="M48" s="46" t="s">
        <v>10</v>
      </c>
      <c r="N48" s="46" t="s">
        <v>10</v>
      </c>
      <c r="O48" s="46" t="s">
        <v>10</v>
      </c>
      <c r="P48" s="46"/>
      <c r="Q48" s="46" t="s">
        <v>10</v>
      </c>
      <c r="S48" s="13" t="b">
        <v>1</v>
      </c>
      <c r="T48" s="13" t="b">
        <v>1</v>
      </c>
      <c r="U48" s="13" t="b">
        <v>0</v>
      </c>
      <c r="V48" s="63" t="b">
        <v>1</v>
      </c>
      <c r="W48" s="63" t="b">
        <v>1</v>
      </c>
      <c r="X48" s="63" t="b">
        <v>0</v>
      </c>
      <c r="Y48" s="19" t="str">
        <f t="shared" si="3"/>
        <v/>
      </c>
      <c r="Z48" s="19" t="str">
        <f t="shared" si="4"/>
        <v/>
      </c>
      <c r="AA48" s="19" t="str">
        <f t="shared" si="5"/>
        <v>N</v>
      </c>
      <c r="AB48" s="19" t="str">
        <f t="shared" si="6"/>
        <v>N</v>
      </c>
    </row>
    <row r="49" spans="1:28" ht="86.25">
      <c r="A49" s="29" t="s">
        <v>6</v>
      </c>
      <c r="B49" s="29" t="s">
        <v>286</v>
      </c>
      <c r="C49" s="30" t="s">
        <v>285</v>
      </c>
      <c r="D49" s="30" t="s">
        <v>401</v>
      </c>
      <c r="E49" s="30" t="s">
        <v>287</v>
      </c>
      <c r="F49" s="28"/>
      <c r="G49" s="27"/>
      <c r="H49" s="28"/>
      <c r="I49" s="32" t="s">
        <v>27</v>
      </c>
      <c r="J49" s="62" t="str">
        <f t="shared" si="2"/>
        <v>Y</v>
      </c>
      <c r="K49" s="62" t="str">
        <f t="shared" si="7"/>
        <v/>
      </c>
      <c r="L49" s="62" t="str">
        <f t="shared" si="7"/>
        <v/>
      </c>
      <c r="M49" s="46" t="s">
        <v>10</v>
      </c>
      <c r="N49" s="46" t="s">
        <v>10</v>
      </c>
      <c r="O49" s="46" t="s">
        <v>10</v>
      </c>
      <c r="P49" s="46"/>
      <c r="Q49" s="46" t="s">
        <v>10</v>
      </c>
      <c r="S49" s="13" t="b">
        <v>1</v>
      </c>
      <c r="T49" s="13" t="b">
        <v>0</v>
      </c>
      <c r="U49" s="13" t="b">
        <v>0</v>
      </c>
      <c r="V49" s="63" t="b">
        <v>1</v>
      </c>
      <c r="W49" s="63" t="b">
        <v>0</v>
      </c>
      <c r="X49" s="63" t="b">
        <v>0</v>
      </c>
      <c r="Y49" s="19" t="str">
        <f t="shared" si="3"/>
        <v/>
      </c>
      <c r="Z49" s="19" t="str">
        <f t="shared" si="4"/>
        <v/>
      </c>
      <c r="AA49" s="19" t="str">
        <f t="shared" si="5"/>
        <v>N</v>
      </c>
      <c r="AB49" s="19" t="str">
        <f t="shared" si="6"/>
        <v>N</v>
      </c>
    </row>
    <row r="50" spans="1:28" ht="110.25">
      <c r="A50" s="29" t="s">
        <v>28</v>
      </c>
      <c r="B50" s="29" t="s">
        <v>91</v>
      </c>
      <c r="C50" s="30" t="s">
        <v>85</v>
      </c>
      <c r="D50" s="30"/>
      <c r="E50" s="54" t="s">
        <v>441</v>
      </c>
      <c r="F50" s="28"/>
      <c r="G50" s="27"/>
      <c r="H50" s="28"/>
      <c r="I50" s="32" t="s">
        <v>29</v>
      </c>
      <c r="J50" s="62" t="str">
        <f t="shared" si="2"/>
        <v>Y</v>
      </c>
      <c r="K50" s="62" t="str">
        <f t="shared" si="7"/>
        <v>Y</v>
      </c>
      <c r="L50" s="62" t="str">
        <f t="shared" si="7"/>
        <v/>
      </c>
      <c r="M50" s="46"/>
      <c r="N50" s="46" t="s">
        <v>10</v>
      </c>
      <c r="O50" s="46"/>
      <c r="P50" s="46" t="s">
        <v>10</v>
      </c>
      <c r="Q50" s="46" t="s">
        <v>10</v>
      </c>
      <c r="S50" s="13" t="b">
        <v>1</v>
      </c>
      <c r="T50" s="13" t="b">
        <v>1</v>
      </c>
      <c r="U50" s="13" t="b">
        <v>0</v>
      </c>
      <c r="V50" s="63" t="b">
        <v>1</v>
      </c>
      <c r="W50" s="63" t="b">
        <v>1</v>
      </c>
      <c r="X50" s="63" t="b">
        <v>0</v>
      </c>
      <c r="Y50" s="19" t="str">
        <f t="shared" si="3"/>
        <v/>
      </c>
      <c r="Z50" s="19" t="str">
        <f t="shared" si="4"/>
        <v/>
      </c>
      <c r="AA50" s="19" t="str">
        <f t="shared" si="5"/>
        <v>N</v>
      </c>
      <c r="AB50" s="19" t="str">
        <f t="shared" si="6"/>
        <v>N</v>
      </c>
    </row>
    <row r="51" spans="1:28" ht="267.75">
      <c r="A51" s="29" t="s">
        <v>63</v>
      </c>
      <c r="B51" s="29" t="s">
        <v>64</v>
      </c>
      <c r="C51" s="30" t="s">
        <v>261</v>
      </c>
      <c r="D51" s="30" t="s">
        <v>282</v>
      </c>
      <c r="E51" s="54" t="s">
        <v>442</v>
      </c>
      <c r="F51" s="37"/>
      <c r="G51" s="27"/>
      <c r="H51" s="28"/>
      <c r="I51" s="31" t="s">
        <v>17</v>
      </c>
      <c r="J51" s="62" t="str">
        <f t="shared" si="2"/>
        <v>Y</v>
      </c>
      <c r="K51" s="62" t="str">
        <f t="shared" si="7"/>
        <v>Y</v>
      </c>
      <c r="L51" s="62" t="str">
        <f t="shared" si="7"/>
        <v>Y</v>
      </c>
      <c r="M51" s="46" t="s">
        <v>10</v>
      </c>
      <c r="N51" s="46" t="s">
        <v>10</v>
      </c>
      <c r="O51" s="46"/>
      <c r="P51" s="46" t="s">
        <v>10</v>
      </c>
      <c r="Q51" s="46"/>
      <c r="S51" s="13" t="b">
        <v>1</v>
      </c>
      <c r="T51" s="13" t="b">
        <v>1</v>
      </c>
      <c r="U51" s="13" t="b">
        <v>1</v>
      </c>
      <c r="V51" s="63" t="b">
        <v>1</v>
      </c>
      <c r="W51" s="63" t="b">
        <v>1</v>
      </c>
      <c r="X51" s="63" t="b">
        <v>1</v>
      </c>
      <c r="Y51" s="19" t="str">
        <f t="shared" si="3"/>
        <v/>
      </c>
      <c r="Z51" s="19" t="str">
        <f t="shared" si="4"/>
        <v/>
      </c>
      <c r="AA51" s="19" t="str">
        <f t="shared" si="5"/>
        <v>N</v>
      </c>
      <c r="AB51" s="19" t="str">
        <f t="shared" si="6"/>
        <v>N</v>
      </c>
    </row>
    <row r="52" spans="1:28" ht="63">
      <c r="A52" s="29" t="s">
        <v>28</v>
      </c>
      <c r="B52" s="29" t="s">
        <v>86</v>
      </c>
      <c r="C52" s="30" t="s">
        <v>86</v>
      </c>
      <c r="D52" s="30" t="s">
        <v>233</v>
      </c>
      <c r="E52" s="54" t="s">
        <v>443</v>
      </c>
      <c r="F52" s="28"/>
      <c r="G52" s="27"/>
      <c r="H52" s="28"/>
      <c r="I52" s="32" t="s">
        <v>30</v>
      </c>
      <c r="J52" s="62" t="str">
        <f t="shared" si="2"/>
        <v>Y</v>
      </c>
      <c r="K52" s="62" t="str">
        <f t="shared" si="7"/>
        <v>Y</v>
      </c>
      <c r="L52" s="62" t="str">
        <f t="shared" si="7"/>
        <v>Y</v>
      </c>
      <c r="M52" s="46" t="s">
        <v>10</v>
      </c>
      <c r="N52" s="46" t="s">
        <v>10</v>
      </c>
      <c r="O52" s="46" t="s">
        <v>10</v>
      </c>
      <c r="P52" s="46" t="s">
        <v>10</v>
      </c>
      <c r="Q52" s="46" t="s">
        <v>10</v>
      </c>
      <c r="S52" s="13" t="b">
        <v>1</v>
      </c>
      <c r="T52" s="13" t="b">
        <v>1</v>
      </c>
      <c r="U52" s="13" t="b">
        <v>1</v>
      </c>
      <c r="V52" s="63" t="b">
        <v>1</v>
      </c>
      <c r="W52" s="63" t="b">
        <v>1</v>
      </c>
      <c r="X52" s="63" t="b">
        <v>1</v>
      </c>
      <c r="Y52" s="19" t="str">
        <f t="shared" si="3"/>
        <v/>
      </c>
      <c r="Z52" s="19" t="str">
        <f t="shared" si="4"/>
        <v/>
      </c>
      <c r="AA52" s="19" t="str">
        <f t="shared" si="5"/>
        <v>N</v>
      </c>
      <c r="AB52" s="19" t="str">
        <f t="shared" si="6"/>
        <v>N</v>
      </c>
    </row>
    <row r="53" spans="1:28" ht="47.25">
      <c r="A53" s="29" t="s">
        <v>28</v>
      </c>
      <c r="B53" s="29" t="s">
        <v>86</v>
      </c>
      <c r="C53" s="30" t="s">
        <v>88</v>
      </c>
      <c r="D53" s="30" t="s">
        <v>234</v>
      </c>
      <c r="E53" s="30" t="s">
        <v>87</v>
      </c>
      <c r="F53" s="28"/>
      <c r="G53" s="27"/>
      <c r="H53" s="28"/>
      <c r="I53" s="32" t="s">
        <v>30</v>
      </c>
      <c r="J53" s="62" t="str">
        <f t="shared" si="2"/>
        <v>Y</v>
      </c>
      <c r="K53" s="62" t="str">
        <f t="shared" si="7"/>
        <v>Y</v>
      </c>
      <c r="L53" s="62" t="str">
        <f t="shared" si="7"/>
        <v>Y</v>
      </c>
      <c r="M53" s="46" t="s">
        <v>10</v>
      </c>
      <c r="N53" s="46" t="s">
        <v>10</v>
      </c>
      <c r="O53" s="46" t="s">
        <v>10</v>
      </c>
      <c r="P53" s="46" t="s">
        <v>10</v>
      </c>
      <c r="Q53" s="46" t="s">
        <v>10</v>
      </c>
      <c r="S53" s="13" t="b">
        <v>1</v>
      </c>
      <c r="T53" s="13" t="b">
        <v>1</v>
      </c>
      <c r="U53" s="13" t="b">
        <v>1</v>
      </c>
      <c r="V53" s="63" t="b">
        <v>1</v>
      </c>
      <c r="W53" s="63" t="b">
        <v>1</v>
      </c>
      <c r="X53" s="63" t="b">
        <v>1</v>
      </c>
      <c r="Y53" s="19" t="str">
        <f t="shared" si="3"/>
        <v/>
      </c>
      <c r="Z53" s="19" t="str">
        <f t="shared" si="4"/>
        <v/>
      </c>
      <c r="AA53" s="19" t="str">
        <f t="shared" si="5"/>
        <v>N</v>
      </c>
      <c r="AB53" s="19" t="str">
        <f t="shared" si="6"/>
        <v>N</v>
      </c>
    </row>
    <row r="54" spans="1:28" ht="47.25">
      <c r="A54" s="29" t="s">
        <v>28</v>
      </c>
      <c r="B54" s="29" t="s">
        <v>86</v>
      </c>
      <c r="C54" s="30" t="s">
        <v>89</v>
      </c>
      <c r="D54" s="30" t="s">
        <v>235</v>
      </c>
      <c r="E54" s="30" t="s">
        <v>48</v>
      </c>
      <c r="F54" s="28"/>
      <c r="G54" s="27"/>
      <c r="H54" s="28"/>
      <c r="I54" s="32" t="s">
        <v>30</v>
      </c>
      <c r="J54" s="62" t="str">
        <f t="shared" si="2"/>
        <v>Y</v>
      </c>
      <c r="K54" s="62" t="str">
        <f t="shared" si="7"/>
        <v/>
      </c>
      <c r="L54" s="62" t="str">
        <f t="shared" si="7"/>
        <v>Y</v>
      </c>
      <c r="M54" s="46" t="s">
        <v>10</v>
      </c>
      <c r="N54" s="46" t="s">
        <v>10</v>
      </c>
      <c r="O54" s="46" t="s">
        <v>10</v>
      </c>
      <c r="P54" s="46" t="s">
        <v>10</v>
      </c>
      <c r="Q54" s="46" t="s">
        <v>10</v>
      </c>
      <c r="S54" s="13" t="b">
        <v>1</v>
      </c>
      <c r="T54" s="13" t="b">
        <v>0</v>
      </c>
      <c r="U54" s="13" t="b">
        <v>1</v>
      </c>
      <c r="V54" s="63" t="b">
        <v>1</v>
      </c>
      <c r="W54" s="63" t="b">
        <v>0</v>
      </c>
      <c r="X54" s="63" t="b">
        <v>1</v>
      </c>
      <c r="Y54" s="19" t="str">
        <f t="shared" si="3"/>
        <v/>
      </c>
      <c r="Z54" s="19" t="str">
        <f t="shared" si="4"/>
        <v/>
      </c>
      <c r="AA54" s="19" t="str">
        <f t="shared" si="5"/>
        <v>N</v>
      </c>
      <c r="AB54" s="19" t="str">
        <f t="shared" si="6"/>
        <v>N</v>
      </c>
    </row>
    <row r="55" spans="1:28" ht="110.25">
      <c r="A55" s="29" t="s">
        <v>28</v>
      </c>
      <c r="B55" s="29" t="s">
        <v>90</v>
      </c>
      <c r="C55" s="30" t="s">
        <v>92</v>
      </c>
      <c r="D55" s="30" t="s">
        <v>236</v>
      </c>
      <c r="E55" s="54" t="s">
        <v>444</v>
      </c>
      <c r="F55" s="28"/>
      <c r="G55" s="27"/>
      <c r="H55" s="28"/>
      <c r="I55" s="32" t="s">
        <v>187</v>
      </c>
      <c r="J55" s="62" t="str">
        <f t="shared" si="2"/>
        <v>Y</v>
      </c>
      <c r="K55" s="62" t="str">
        <f t="shared" si="7"/>
        <v>Y</v>
      </c>
      <c r="L55" s="62" t="str">
        <f t="shared" si="7"/>
        <v/>
      </c>
      <c r="M55" s="46" t="s">
        <v>10</v>
      </c>
      <c r="N55" s="46" t="s">
        <v>10</v>
      </c>
      <c r="O55" s="46" t="s">
        <v>10</v>
      </c>
      <c r="P55" s="46" t="s">
        <v>10</v>
      </c>
      <c r="Q55" s="46" t="s">
        <v>10</v>
      </c>
      <c r="S55" s="13" t="b">
        <v>1</v>
      </c>
      <c r="T55" s="13" t="b">
        <v>1</v>
      </c>
      <c r="U55" s="13" t="b">
        <v>0</v>
      </c>
      <c r="V55" s="63" t="b">
        <v>1</v>
      </c>
      <c r="W55" s="63" t="b">
        <v>1</v>
      </c>
      <c r="X55" s="63" t="b">
        <v>0</v>
      </c>
      <c r="Y55" s="19" t="str">
        <f t="shared" si="3"/>
        <v/>
      </c>
      <c r="Z55" s="19" t="str">
        <f t="shared" si="4"/>
        <v/>
      </c>
      <c r="AA55" s="19" t="str">
        <f t="shared" si="5"/>
        <v>N</v>
      </c>
      <c r="AB55" s="19" t="str">
        <f t="shared" si="6"/>
        <v>N</v>
      </c>
    </row>
    <row r="56" spans="1:28" ht="110.25">
      <c r="A56" s="29" t="s">
        <v>28</v>
      </c>
      <c r="B56" s="29" t="s">
        <v>94</v>
      </c>
      <c r="C56" s="30" t="s">
        <v>93</v>
      </c>
      <c r="D56" s="30"/>
      <c r="E56" s="54" t="s">
        <v>445</v>
      </c>
      <c r="F56" s="28"/>
      <c r="G56" s="27"/>
      <c r="H56" s="28"/>
      <c r="I56" s="32" t="s">
        <v>187</v>
      </c>
      <c r="J56" s="62" t="str">
        <f t="shared" si="2"/>
        <v>Y</v>
      </c>
      <c r="K56" s="62" t="str">
        <f t="shared" si="7"/>
        <v>Y</v>
      </c>
      <c r="L56" s="62" t="str">
        <f t="shared" si="7"/>
        <v/>
      </c>
      <c r="M56" s="46" t="s">
        <v>10</v>
      </c>
      <c r="N56" s="46" t="s">
        <v>10</v>
      </c>
      <c r="O56" s="46" t="s">
        <v>10</v>
      </c>
      <c r="P56" s="46" t="s">
        <v>10</v>
      </c>
      <c r="Q56" s="46" t="s">
        <v>10</v>
      </c>
      <c r="S56" s="13" t="b">
        <v>1</v>
      </c>
      <c r="T56" s="13" t="b">
        <v>1</v>
      </c>
      <c r="U56" s="13" t="b">
        <v>0</v>
      </c>
      <c r="V56" s="63" t="b">
        <v>1</v>
      </c>
      <c r="W56" s="63" t="b">
        <v>1</v>
      </c>
      <c r="X56" s="63" t="b">
        <v>0</v>
      </c>
      <c r="Y56" s="19" t="str">
        <f t="shared" si="3"/>
        <v/>
      </c>
      <c r="Z56" s="19" t="str">
        <f t="shared" si="4"/>
        <v/>
      </c>
      <c r="AA56" s="19" t="str">
        <f t="shared" si="5"/>
        <v>N</v>
      </c>
      <c r="AB56" s="19" t="str">
        <f t="shared" si="6"/>
        <v>N</v>
      </c>
    </row>
    <row r="57" spans="1:28" ht="78.75">
      <c r="A57" s="29" t="s">
        <v>63</v>
      </c>
      <c r="B57" s="29" t="s">
        <v>68</v>
      </c>
      <c r="C57" s="55" t="s">
        <v>69</v>
      </c>
      <c r="D57" s="55" t="s">
        <v>229</v>
      </c>
      <c r="E57" s="56" t="s">
        <v>446</v>
      </c>
      <c r="F57" s="37"/>
      <c r="G57" s="27"/>
      <c r="H57" s="28"/>
      <c r="I57" s="47" t="s">
        <v>21</v>
      </c>
      <c r="J57" s="62" t="str">
        <f t="shared" si="2"/>
        <v>Y</v>
      </c>
      <c r="K57" s="62" t="str">
        <f t="shared" si="7"/>
        <v>Y</v>
      </c>
      <c r="L57" s="62" t="str">
        <f t="shared" si="7"/>
        <v/>
      </c>
      <c r="M57" s="46" t="s">
        <v>10</v>
      </c>
      <c r="N57" s="46" t="s">
        <v>10</v>
      </c>
      <c r="O57" s="46" t="s">
        <v>10</v>
      </c>
      <c r="P57" s="46" t="s">
        <v>10</v>
      </c>
      <c r="Q57" s="46" t="s">
        <v>10</v>
      </c>
      <c r="S57" s="13" t="b">
        <v>1</v>
      </c>
      <c r="T57" s="13" t="b">
        <v>1</v>
      </c>
      <c r="U57" s="13" t="b">
        <v>0</v>
      </c>
      <c r="V57" s="63" t="b">
        <v>1</v>
      </c>
      <c r="W57" s="63" t="b">
        <v>1</v>
      </c>
      <c r="X57" s="63" t="b">
        <v>0</v>
      </c>
      <c r="Y57" s="19" t="str">
        <f t="shared" si="3"/>
        <v/>
      </c>
      <c r="Z57" s="19" t="str">
        <f t="shared" si="4"/>
        <v/>
      </c>
      <c r="AA57" s="19" t="str">
        <f t="shared" si="5"/>
        <v>N</v>
      </c>
      <c r="AB57" s="19" t="str">
        <f t="shared" si="6"/>
        <v>N</v>
      </c>
    </row>
    <row r="58" spans="1:28" ht="110.25">
      <c r="A58" s="29" t="s">
        <v>63</v>
      </c>
      <c r="B58" s="29" t="s">
        <v>68</v>
      </c>
      <c r="C58" s="30" t="s">
        <v>70</v>
      </c>
      <c r="D58" s="30" t="s">
        <v>230</v>
      </c>
      <c r="E58" s="54" t="s">
        <v>447</v>
      </c>
      <c r="F58" s="37"/>
      <c r="G58" s="27"/>
      <c r="H58" s="28"/>
      <c r="I58" s="47" t="s">
        <v>21</v>
      </c>
      <c r="J58" s="62" t="str">
        <f t="shared" si="2"/>
        <v>Y</v>
      </c>
      <c r="K58" s="62" t="str">
        <f t="shared" si="7"/>
        <v>Y</v>
      </c>
      <c r="L58" s="62" t="str">
        <f t="shared" si="7"/>
        <v/>
      </c>
      <c r="M58" s="46" t="s">
        <v>10</v>
      </c>
      <c r="N58" s="46" t="s">
        <v>10</v>
      </c>
      <c r="O58" s="46" t="s">
        <v>10</v>
      </c>
      <c r="P58" s="46" t="s">
        <v>10</v>
      </c>
      <c r="Q58" s="46" t="s">
        <v>10</v>
      </c>
      <c r="S58" s="13" t="b">
        <v>1</v>
      </c>
      <c r="T58" s="13" t="b">
        <v>1</v>
      </c>
      <c r="U58" s="13" t="b">
        <v>0</v>
      </c>
      <c r="V58" s="63" t="b">
        <v>1</v>
      </c>
      <c r="W58" s="63" t="b">
        <v>1</v>
      </c>
      <c r="X58" s="63" t="b">
        <v>0</v>
      </c>
      <c r="Y58" s="19" t="str">
        <f t="shared" si="3"/>
        <v/>
      </c>
      <c r="Z58" s="19" t="str">
        <f t="shared" si="4"/>
        <v/>
      </c>
      <c r="AA58" s="19" t="str">
        <f t="shared" si="5"/>
        <v>N</v>
      </c>
      <c r="AB58" s="19" t="str">
        <f t="shared" si="6"/>
        <v>N</v>
      </c>
    </row>
    <row r="59" spans="1:28" ht="90">
      <c r="A59" s="29" t="s">
        <v>63</v>
      </c>
      <c r="B59" s="29" t="s">
        <v>73</v>
      </c>
      <c r="C59" s="30" t="s">
        <v>72</v>
      </c>
      <c r="D59" s="30" t="s">
        <v>283</v>
      </c>
      <c r="E59" s="55" t="s">
        <v>284</v>
      </c>
      <c r="F59" s="37"/>
      <c r="G59" s="27"/>
      <c r="H59" s="28"/>
      <c r="I59" s="32" t="s">
        <v>22</v>
      </c>
      <c r="J59" s="62" t="str">
        <f t="shared" si="2"/>
        <v>Y</v>
      </c>
      <c r="K59" s="62" t="str">
        <f t="shared" si="7"/>
        <v>Y</v>
      </c>
      <c r="L59" s="62" t="str">
        <f t="shared" si="7"/>
        <v>Y</v>
      </c>
      <c r="M59" s="46" t="s">
        <v>10</v>
      </c>
      <c r="N59" s="46" t="s">
        <v>10</v>
      </c>
      <c r="O59" s="46" t="s">
        <v>10</v>
      </c>
      <c r="P59" s="46" t="s">
        <v>10</v>
      </c>
      <c r="Q59" s="46" t="s">
        <v>10</v>
      </c>
      <c r="S59" s="13" t="b">
        <v>1</v>
      </c>
      <c r="T59" s="13" t="b">
        <v>1</v>
      </c>
      <c r="U59" s="13" t="b">
        <v>1</v>
      </c>
      <c r="V59" s="63" t="b">
        <v>1</v>
      </c>
      <c r="W59" s="63" t="b">
        <v>1</v>
      </c>
      <c r="X59" s="63" t="b">
        <v>1</v>
      </c>
      <c r="Y59" s="19" t="str">
        <f t="shared" si="3"/>
        <v/>
      </c>
      <c r="Z59" s="19" t="str">
        <f t="shared" si="4"/>
        <v/>
      </c>
      <c r="AA59" s="19" t="str">
        <f t="shared" si="5"/>
        <v>N</v>
      </c>
      <c r="AB59" s="19" t="str">
        <f t="shared" si="6"/>
        <v>N</v>
      </c>
    </row>
    <row r="60" spans="1:28" ht="63">
      <c r="A60" s="29" t="s">
        <v>63</v>
      </c>
      <c r="B60" s="29" t="s">
        <v>208</v>
      </c>
      <c r="C60" s="30" t="s">
        <v>136</v>
      </c>
      <c r="D60" s="30" t="s">
        <v>231</v>
      </c>
      <c r="E60" s="56" t="s">
        <v>448</v>
      </c>
      <c r="F60" s="28"/>
      <c r="G60" s="27"/>
      <c r="H60" s="28"/>
      <c r="I60" s="32" t="s">
        <v>465</v>
      </c>
      <c r="J60" s="62" t="str">
        <f t="shared" si="2"/>
        <v>Y</v>
      </c>
      <c r="K60" s="62" t="str">
        <f t="shared" si="7"/>
        <v>Y</v>
      </c>
      <c r="L60" s="62" t="str">
        <f t="shared" si="7"/>
        <v/>
      </c>
      <c r="M60" s="46"/>
      <c r="N60" s="46" t="s">
        <v>10</v>
      </c>
      <c r="O60" s="46"/>
      <c r="P60" s="46" t="s">
        <v>10</v>
      </c>
      <c r="Q60" s="46" t="s">
        <v>10</v>
      </c>
      <c r="S60" s="13" t="b">
        <v>1</v>
      </c>
      <c r="T60" s="13" t="b">
        <v>1</v>
      </c>
      <c r="U60" s="13" t="b">
        <v>0</v>
      </c>
      <c r="V60" s="63" t="b">
        <v>1</v>
      </c>
      <c r="W60" s="63" t="b">
        <v>1</v>
      </c>
      <c r="X60" s="63" t="b">
        <v>0</v>
      </c>
      <c r="Y60" s="19" t="str">
        <f t="shared" si="3"/>
        <v/>
      </c>
      <c r="Z60" s="19" t="str">
        <f t="shared" si="4"/>
        <v/>
      </c>
      <c r="AA60" s="19" t="str">
        <f t="shared" si="5"/>
        <v>N</v>
      </c>
      <c r="AB60" s="19" t="str">
        <f t="shared" si="6"/>
        <v>N</v>
      </c>
    </row>
    <row r="61" spans="1:28" ht="31.5">
      <c r="A61" s="29" t="s">
        <v>100</v>
      </c>
      <c r="B61" s="29" t="s">
        <v>110</v>
      </c>
      <c r="C61" s="30" t="s">
        <v>111</v>
      </c>
      <c r="D61" s="30" t="s">
        <v>240</v>
      </c>
      <c r="E61" s="54" t="s">
        <v>449</v>
      </c>
      <c r="F61" s="28"/>
      <c r="G61" s="27"/>
      <c r="H61" s="28"/>
      <c r="I61" s="32" t="s">
        <v>39</v>
      </c>
      <c r="J61" s="62" t="str">
        <f t="shared" si="2"/>
        <v>Y</v>
      </c>
      <c r="K61" s="62" t="str">
        <f t="shared" si="7"/>
        <v>Y</v>
      </c>
      <c r="L61" s="62" t="str">
        <f t="shared" si="7"/>
        <v/>
      </c>
      <c r="M61" s="46" t="s">
        <v>10</v>
      </c>
      <c r="N61" s="46" t="s">
        <v>10</v>
      </c>
      <c r="O61" s="46" t="s">
        <v>10</v>
      </c>
      <c r="P61" s="46" t="s">
        <v>10</v>
      </c>
      <c r="Q61" s="46" t="s">
        <v>10</v>
      </c>
      <c r="S61" s="13" t="b">
        <v>1</v>
      </c>
      <c r="T61" s="13" t="b">
        <v>1</v>
      </c>
      <c r="U61" s="13" t="b">
        <v>0</v>
      </c>
      <c r="V61" s="63" t="b">
        <v>1</v>
      </c>
      <c r="W61" s="63" t="b">
        <v>1</v>
      </c>
      <c r="X61" s="63" t="b">
        <v>0</v>
      </c>
      <c r="Y61" s="19" t="str">
        <f t="shared" si="3"/>
        <v/>
      </c>
      <c r="Z61" s="19" t="str">
        <f t="shared" si="4"/>
        <v/>
      </c>
      <c r="AA61" s="19" t="str">
        <f t="shared" si="5"/>
        <v>N</v>
      </c>
      <c r="AB61" s="19" t="str">
        <f t="shared" si="6"/>
        <v>N</v>
      </c>
    </row>
    <row r="62" spans="1:28" ht="31.5">
      <c r="A62" s="29" t="s">
        <v>305</v>
      </c>
      <c r="B62" s="29" t="s">
        <v>305</v>
      </c>
      <c r="C62" s="30" t="s">
        <v>306</v>
      </c>
      <c r="D62" s="30" t="s">
        <v>307</v>
      </c>
      <c r="E62" s="54" t="s">
        <v>450</v>
      </c>
      <c r="F62" s="28"/>
      <c r="G62" s="27"/>
      <c r="H62" s="28"/>
      <c r="I62" s="32"/>
      <c r="J62" s="62" t="str">
        <f t="shared" si="2"/>
        <v>Y</v>
      </c>
      <c r="K62" s="62" t="str">
        <f t="shared" si="7"/>
        <v>Y</v>
      </c>
      <c r="L62" s="62" t="str">
        <f t="shared" si="7"/>
        <v/>
      </c>
      <c r="M62" s="46" t="s">
        <v>10</v>
      </c>
      <c r="N62" s="46" t="s">
        <v>10</v>
      </c>
      <c r="O62" s="46" t="s">
        <v>10</v>
      </c>
      <c r="P62" s="46" t="s">
        <v>10</v>
      </c>
      <c r="Q62" s="46" t="s">
        <v>10</v>
      </c>
      <c r="S62" s="13" t="b">
        <v>1</v>
      </c>
      <c r="T62" s="13" t="b">
        <v>1</v>
      </c>
      <c r="U62" s="13" t="b">
        <v>0</v>
      </c>
      <c r="V62" s="63" t="b">
        <v>1</v>
      </c>
      <c r="W62" s="63" t="b">
        <v>1</v>
      </c>
      <c r="X62" s="63" t="b">
        <v>0</v>
      </c>
      <c r="Y62" s="19" t="str">
        <f t="shared" si="3"/>
        <v/>
      </c>
      <c r="Z62" s="19" t="str">
        <f t="shared" si="4"/>
        <v/>
      </c>
      <c r="AA62" s="19" t="str">
        <f t="shared" si="5"/>
        <v>N</v>
      </c>
      <c r="AB62" s="19" t="str">
        <f t="shared" si="6"/>
        <v>N</v>
      </c>
    </row>
    <row r="63" spans="1:28" ht="63">
      <c r="A63" s="29" t="s">
        <v>31</v>
      </c>
      <c r="B63" s="29" t="s">
        <v>97</v>
      </c>
      <c r="C63" s="30" t="s">
        <v>97</v>
      </c>
      <c r="D63" s="30" t="s">
        <v>404</v>
      </c>
      <c r="E63" s="30" t="s">
        <v>48</v>
      </c>
      <c r="F63" s="28"/>
      <c r="G63" s="27"/>
      <c r="H63" s="28"/>
      <c r="I63" s="32" t="s">
        <v>32</v>
      </c>
      <c r="J63" s="62" t="str">
        <f t="shared" si="2"/>
        <v>Y</v>
      </c>
      <c r="K63" s="62" t="str">
        <f t="shared" si="7"/>
        <v>Y</v>
      </c>
      <c r="L63" s="62" t="str">
        <f t="shared" si="7"/>
        <v>Y</v>
      </c>
      <c r="M63" s="46" t="s">
        <v>10</v>
      </c>
      <c r="N63" s="46" t="s">
        <v>10</v>
      </c>
      <c r="O63" s="46" t="s">
        <v>10</v>
      </c>
      <c r="P63" s="46" t="s">
        <v>10</v>
      </c>
      <c r="Q63" s="46" t="s">
        <v>10</v>
      </c>
      <c r="S63" s="13" t="b">
        <v>1</v>
      </c>
      <c r="T63" s="13" t="b">
        <v>1</v>
      </c>
      <c r="U63" s="13" t="b">
        <v>1</v>
      </c>
      <c r="V63" s="63" t="b">
        <v>1</v>
      </c>
      <c r="W63" s="63" t="b">
        <v>1</v>
      </c>
      <c r="X63" s="63" t="b">
        <v>1</v>
      </c>
      <c r="Y63" s="19" t="str">
        <f t="shared" si="3"/>
        <v/>
      </c>
      <c r="Z63" s="19" t="str">
        <f t="shared" si="4"/>
        <v/>
      </c>
      <c r="AA63" s="19" t="str">
        <f t="shared" si="5"/>
        <v>N</v>
      </c>
      <c r="AB63" s="19" t="str">
        <f t="shared" si="6"/>
        <v>N</v>
      </c>
    </row>
    <row r="64" spans="1:28" ht="47.25">
      <c r="A64" s="29" t="s">
        <v>31</v>
      </c>
      <c r="B64" s="29" t="s">
        <v>99</v>
      </c>
      <c r="C64" s="30" t="s">
        <v>98</v>
      </c>
      <c r="D64" s="30" t="s">
        <v>237</v>
      </c>
      <c r="E64" s="54" t="s">
        <v>451</v>
      </c>
      <c r="F64" s="28"/>
      <c r="G64" s="27"/>
      <c r="H64" s="28"/>
      <c r="I64" s="32" t="s">
        <v>32</v>
      </c>
      <c r="J64" s="62" t="str">
        <f t="shared" si="2"/>
        <v>Y</v>
      </c>
      <c r="K64" s="62" t="str">
        <f t="shared" si="7"/>
        <v>Y</v>
      </c>
      <c r="L64" s="62" t="str">
        <f t="shared" si="7"/>
        <v>Y</v>
      </c>
      <c r="M64" s="46" t="s">
        <v>10</v>
      </c>
      <c r="N64" s="46" t="s">
        <v>10</v>
      </c>
      <c r="O64" s="46" t="s">
        <v>10</v>
      </c>
      <c r="P64" s="46" t="s">
        <v>10</v>
      </c>
      <c r="Q64" s="46" t="s">
        <v>10</v>
      </c>
      <c r="S64" s="13" t="b">
        <v>1</v>
      </c>
      <c r="T64" s="13" t="b">
        <v>1</v>
      </c>
      <c r="U64" s="13" t="b">
        <v>1</v>
      </c>
      <c r="V64" s="63" t="b">
        <v>1</v>
      </c>
      <c r="W64" s="63" t="b">
        <v>1</v>
      </c>
      <c r="X64" s="63" t="b">
        <v>1</v>
      </c>
      <c r="Y64" s="19" t="str">
        <f t="shared" si="3"/>
        <v/>
      </c>
      <c r="Z64" s="19" t="str">
        <f t="shared" si="4"/>
        <v/>
      </c>
      <c r="AA64" s="19" t="str">
        <f t="shared" si="5"/>
        <v>N</v>
      </c>
      <c r="AB64" s="19" t="str">
        <f t="shared" si="6"/>
        <v>N</v>
      </c>
    </row>
    <row r="65" spans="1:28" ht="110.25">
      <c r="A65" s="29" t="s">
        <v>114</v>
      </c>
      <c r="B65" s="29" t="s">
        <v>115</v>
      </c>
      <c r="C65" s="30" t="s">
        <v>112</v>
      </c>
      <c r="D65" s="30" t="s">
        <v>241</v>
      </c>
      <c r="E65" s="54" t="s">
        <v>452</v>
      </c>
      <c r="F65" s="28"/>
      <c r="G65" s="27"/>
      <c r="H65" s="28"/>
      <c r="I65" s="32" t="s">
        <v>40</v>
      </c>
      <c r="J65" s="62" t="str">
        <f t="shared" si="2"/>
        <v>Y</v>
      </c>
      <c r="K65" s="62" t="str">
        <f t="shared" si="7"/>
        <v>Y</v>
      </c>
      <c r="L65" s="62" t="str">
        <f t="shared" si="7"/>
        <v>Y</v>
      </c>
      <c r="M65" s="46" t="s">
        <v>10</v>
      </c>
      <c r="N65" s="46" t="s">
        <v>10</v>
      </c>
      <c r="O65" s="46"/>
      <c r="P65" s="46" t="s">
        <v>10</v>
      </c>
      <c r="Q65" s="46"/>
      <c r="S65" s="13" t="b">
        <v>1</v>
      </c>
      <c r="T65" s="13" t="b">
        <v>1</v>
      </c>
      <c r="U65" s="13" t="b">
        <v>1</v>
      </c>
      <c r="V65" s="63" t="b">
        <v>1</v>
      </c>
      <c r="W65" s="63" t="b">
        <v>1</v>
      </c>
      <c r="X65" s="63" t="b">
        <v>1</v>
      </c>
      <c r="Y65" s="19" t="str">
        <f t="shared" si="3"/>
        <v/>
      </c>
      <c r="Z65" s="19" t="str">
        <f t="shared" si="4"/>
        <v/>
      </c>
      <c r="AA65" s="19" t="str">
        <f t="shared" si="5"/>
        <v>N</v>
      </c>
      <c r="AB65" s="19" t="str">
        <f t="shared" si="6"/>
        <v>N</v>
      </c>
    </row>
    <row r="66" spans="1:28" ht="47.25">
      <c r="A66" s="29" t="s">
        <v>114</v>
      </c>
      <c r="B66" s="29" t="s">
        <v>388</v>
      </c>
      <c r="C66" s="30" t="s">
        <v>389</v>
      </c>
      <c r="D66" s="30" t="s">
        <v>390</v>
      </c>
      <c r="E66" s="54" t="s">
        <v>453</v>
      </c>
      <c r="F66" s="28"/>
      <c r="G66" s="27"/>
      <c r="H66" s="28"/>
      <c r="I66" s="32" t="s">
        <v>40</v>
      </c>
      <c r="J66" s="62" t="str">
        <f t="shared" si="2"/>
        <v>Y</v>
      </c>
      <c r="K66" s="62" t="str">
        <f t="shared" si="7"/>
        <v>Y</v>
      </c>
      <c r="L66" s="62" t="str">
        <f t="shared" si="7"/>
        <v>Y</v>
      </c>
      <c r="M66" s="46" t="s">
        <v>10</v>
      </c>
      <c r="N66" s="46" t="s">
        <v>10</v>
      </c>
      <c r="O66" s="46"/>
      <c r="P66" s="46" t="s">
        <v>10</v>
      </c>
      <c r="Q66" s="46" t="s">
        <v>10</v>
      </c>
      <c r="S66" s="13" t="b">
        <v>1</v>
      </c>
      <c r="T66" s="13" t="b">
        <v>1</v>
      </c>
      <c r="U66" s="13" t="b">
        <v>1</v>
      </c>
      <c r="V66" s="63" t="b">
        <v>1</v>
      </c>
      <c r="W66" s="63" t="b">
        <v>1</v>
      </c>
      <c r="X66" s="63" t="b">
        <v>1</v>
      </c>
      <c r="Y66" s="19" t="str">
        <f t="shared" si="3"/>
        <v/>
      </c>
      <c r="Z66" s="19" t="str">
        <f t="shared" si="4"/>
        <v/>
      </c>
      <c r="AA66" s="19" t="str">
        <f t="shared" si="5"/>
        <v>N</v>
      </c>
      <c r="AB66" s="19" t="str">
        <f t="shared" si="6"/>
        <v>N</v>
      </c>
    </row>
    <row r="67" spans="1:28" ht="31.5">
      <c r="A67" s="29" t="s">
        <v>114</v>
      </c>
      <c r="B67" s="29" t="s">
        <v>113</v>
      </c>
      <c r="C67" s="30" t="s">
        <v>113</v>
      </c>
      <c r="D67" s="30" t="s">
        <v>242</v>
      </c>
      <c r="E67" s="54" t="s">
        <v>454</v>
      </c>
      <c r="F67" s="28"/>
      <c r="G67" s="27"/>
      <c r="H67" s="28"/>
      <c r="I67" s="32" t="s">
        <v>40</v>
      </c>
      <c r="J67" s="62" t="str">
        <f t="shared" si="2"/>
        <v>Y</v>
      </c>
      <c r="K67" s="62" t="str">
        <f t="shared" si="7"/>
        <v>Y</v>
      </c>
      <c r="L67" s="62" t="str">
        <f t="shared" si="7"/>
        <v>Y</v>
      </c>
      <c r="M67" s="46" t="s">
        <v>10</v>
      </c>
      <c r="N67" s="46" t="s">
        <v>10</v>
      </c>
      <c r="O67" s="46"/>
      <c r="P67" s="46" t="s">
        <v>10</v>
      </c>
      <c r="Q67" s="46"/>
      <c r="S67" s="13" t="b">
        <v>1</v>
      </c>
      <c r="T67" s="13" t="b">
        <v>1</v>
      </c>
      <c r="U67" s="13" t="b">
        <v>1</v>
      </c>
      <c r="V67" s="63" t="b">
        <v>1</v>
      </c>
      <c r="W67" s="63" t="b">
        <v>1</v>
      </c>
      <c r="X67" s="63" t="b">
        <v>1</v>
      </c>
      <c r="Y67" s="19" t="str">
        <f t="shared" si="3"/>
        <v/>
      </c>
      <c r="Z67" s="19" t="str">
        <f t="shared" si="4"/>
        <v/>
      </c>
      <c r="AA67" s="19" t="str">
        <f t="shared" si="5"/>
        <v>N</v>
      </c>
      <c r="AB67" s="19" t="str">
        <f t="shared" si="6"/>
        <v>N</v>
      </c>
    </row>
    <row r="68" spans="1:28" ht="31.5">
      <c r="A68" s="29" t="s">
        <v>114</v>
      </c>
      <c r="B68" s="29" t="s">
        <v>116</v>
      </c>
      <c r="C68" s="30" t="s">
        <v>116</v>
      </c>
      <c r="D68" s="30" t="s">
        <v>243</v>
      </c>
      <c r="E68" s="54" t="s">
        <v>455</v>
      </c>
      <c r="F68" s="28"/>
      <c r="G68" s="27"/>
      <c r="H68" s="28"/>
      <c r="I68" s="32" t="s">
        <v>40</v>
      </c>
      <c r="J68" s="62" t="str">
        <f t="shared" si="2"/>
        <v>Y</v>
      </c>
      <c r="K68" s="62" t="str">
        <f t="shared" si="7"/>
        <v>Y</v>
      </c>
      <c r="L68" s="62" t="str">
        <f t="shared" si="7"/>
        <v>Y</v>
      </c>
      <c r="M68" s="46" t="s">
        <v>10</v>
      </c>
      <c r="N68" s="46" t="s">
        <v>10</v>
      </c>
      <c r="O68" s="46"/>
      <c r="P68" s="46" t="s">
        <v>10</v>
      </c>
      <c r="Q68" s="46"/>
      <c r="S68" s="13" t="b">
        <v>1</v>
      </c>
      <c r="T68" s="13" t="b">
        <v>1</v>
      </c>
      <c r="U68" s="13" t="b">
        <v>1</v>
      </c>
      <c r="V68" s="63" t="b">
        <v>1</v>
      </c>
      <c r="W68" s="63" t="b">
        <v>1</v>
      </c>
      <c r="X68" s="63" t="b">
        <v>1</v>
      </c>
      <c r="Y68" s="19" t="str">
        <f t="shared" si="3"/>
        <v/>
      </c>
      <c r="Z68" s="19" t="str">
        <f t="shared" si="4"/>
        <v/>
      </c>
      <c r="AA68" s="19" t="str">
        <f t="shared" si="5"/>
        <v>N</v>
      </c>
      <c r="AB68" s="19" t="str">
        <f t="shared" si="6"/>
        <v>N</v>
      </c>
    </row>
    <row r="69" spans="1:28" ht="31.5">
      <c r="A69" s="29" t="s">
        <v>114</v>
      </c>
      <c r="B69" s="29" t="s">
        <v>126</v>
      </c>
      <c r="C69" s="30" t="s">
        <v>127</v>
      </c>
      <c r="D69" s="30" t="s">
        <v>244</v>
      </c>
      <c r="E69" s="54" t="s">
        <v>456</v>
      </c>
      <c r="F69" s="28"/>
      <c r="G69" s="27"/>
      <c r="H69" s="28"/>
      <c r="I69" s="32" t="s">
        <v>40</v>
      </c>
      <c r="J69" s="62" t="str">
        <f t="shared" si="2"/>
        <v>Y</v>
      </c>
      <c r="K69" s="62" t="str">
        <f t="shared" si="7"/>
        <v>Y</v>
      </c>
      <c r="L69" s="62" t="str">
        <f t="shared" si="7"/>
        <v>Y</v>
      </c>
      <c r="M69" s="46" t="s">
        <v>10</v>
      </c>
      <c r="N69" s="46" t="s">
        <v>10</v>
      </c>
      <c r="O69" s="46"/>
      <c r="P69" s="46" t="s">
        <v>10</v>
      </c>
      <c r="Q69" s="46"/>
      <c r="S69" s="13" t="b">
        <v>1</v>
      </c>
      <c r="T69" s="13" t="b">
        <v>1</v>
      </c>
      <c r="U69" s="13" t="b">
        <v>1</v>
      </c>
      <c r="V69" s="63" t="b">
        <v>1</v>
      </c>
      <c r="W69" s="63" t="b">
        <v>1</v>
      </c>
      <c r="X69" s="63" t="b">
        <v>1</v>
      </c>
      <c r="Y69" s="19" t="str">
        <f t="shared" si="3"/>
        <v/>
      </c>
      <c r="Z69" s="19" t="str">
        <f t="shared" si="4"/>
        <v/>
      </c>
      <c r="AA69" s="19" t="str">
        <f t="shared" si="5"/>
        <v>N</v>
      </c>
      <c r="AB69" s="19" t="str">
        <f t="shared" si="6"/>
        <v>N</v>
      </c>
    </row>
    <row r="70" spans="1:28" ht="204.75">
      <c r="A70" s="29" t="s">
        <v>114</v>
      </c>
      <c r="B70" s="29" t="s">
        <v>117</v>
      </c>
      <c r="C70" s="30" t="s">
        <v>118</v>
      </c>
      <c r="D70" s="30"/>
      <c r="E70" s="54" t="s">
        <v>457</v>
      </c>
      <c r="F70" s="28"/>
      <c r="G70" s="27"/>
      <c r="H70" s="28"/>
      <c r="I70" s="32" t="s">
        <v>40</v>
      </c>
      <c r="J70" s="62" t="str">
        <f t="shared" si="2"/>
        <v>Y</v>
      </c>
      <c r="K70" s="62" t="str">
        <f t="shared" si="7"/>
        <v>Y</v>
      </c>
      <c r="L70" s="62" t="str">
        <f t="shared" si="7"/>
        <v>Y</v>
      </c>
      <c r="M70" s="46" t="s">
        <v>10</v>
      </c>
      <c r="N70" s="46" t="s">
        <v>10</v>
      </c>
      <c r="O70" s="46" t="s">
        <v>10</v>
      </c>
      <c r="P70" s="46" t="s">
        <v>10</v>
      </c>
      <c r="Q70" s="46" t="s">
        <v>10</v>
      </c>
      <c r="S70" s="13" t="b">
        <v>1</v>
      </c>
      <c r="T70" s="13" t="b">
        <v>1</v>
      </c>
      <c r="U70" s="13" t="b">
        <v>1</v>
      </c>
      <c r="V70" s="63" t="b">
        <v>1</v>
      </c>
      <c r="W70" s="63" t="b">
        <v>1</v>
      </c>
      <c r="X70" s="63" t="b">
        <v>1</v>
      </c>
      <c r="Y70" s="19" t="str">
        <f t="shared" si="3"/>
        <v/>
      </c>
      <c r="Z70" s="19" t="str">
        <f t="shared" si="4"/>
        <v/>
      </c>
      <c r="AA70" s="19" t="str">
        <f t="shared" si="5"/>
        <v>N</v>
      </c>
      <c r="AB70" s="19" t="str">
        <f t="shared" si="6"/>
        <v>N</v>
      </c>
    </row>
    <row r="71" spans="1:28" ht="283.5">
      <c r="A71" s="29" t="s">
        <v>114</v>
      </c>
      <c r="B71" s="29" t="s">
        <v>119</v>
      </c>
      <c r="C71" s="30" t="s">
        <v>216</v>
      </c>
      <c r="D71" s="30" t="s">
        <v>288</v>
      </c>
      <c r="E71" s="54" t="s">
        <v>458</v>
      </c>
      <c r="F71" s="28"/>
      <c r="G71" s="27"/>
      <c r="H71" s="28"/>
      <c r="I71" s="32" t="s">
        <v>41</v>
      </c>
      <c r="J71" s="62" t="str">
        <f t="shared" si="2"/>
        <v>Y</v>
      </c>
      <c r="K71" s="62" t="str">
        <f t="shared" si="7"/>
        <v/>
      </c>
      <c r="L71" s="62" t="str">
        <f t="shared" si="7"/>
        <v>Y</v>
      </c>
      <c r="M71" s="46" t="s">
        <v>10</v>
      </c>
      <c r="N71" s="46" t="s">
        <v>10</v>
      </c>
      <c r="O71" s="46" t="s">
        <v>10</v>
      </c>
      <c r="P71" s="46" t="s">
        <v>10</v>
      </c>
      <c r="Q71" s="46" t="s">
        <v>10</v>
      </c>
      <c r="S71" s="13" t="b">
        <v>1</v>
      </c>
      <c r="T71" s="13" t="b">
        <v>0</v>
      </c>
      <c r="U71" s="13" t="b">
        <v>1</v>
      </c>
      <c r="V71" s="63" t="b">
        <v>1</v>
      </c>
      <c r="W71" s="63" t="b">
        <v>0</v>
      </c>
      <c r="X71" s="63" t="b">
        <v>1</v>
      </c>
      <c r="Y71" s="19" t="str">
        <f t="shared" si="3"/>
        <v/>
      </c>
      <c r="Z71" s="19" t="str">
        <f t="shared" si="4"/>
        <v/>
      </c>
      <c r="AA71" s="19" t="str">
        <f t="shared" si="5"/>
        <v>N</v>
      </c>
      <c r="AB71" s="19" t="str">
        <f t="shared" si="6"/>
        <v>N</v>
      </c>
    </row>
    <row r="72" spans="1:28" ht="283.5">
      <c r="A72" s="29" t="s">
        <v>114</v>
      </c>
      <c r="B72" s="29" t="s">
        <v>120</v>
      </c>
      <c r="C72" s="30" t="s">
        <v>217</v>
      </c>
      <c r="D72" s="30" t="s">
        <v>245</v>
      </c>
      <c r="E72" s="54" t="s">
        <v>458</v>
      </c>
      <c r="F72" s="28"/>
      <c r="G72" s="27"/>
      <c r="H72" s="28"/>
      <c r="I72" s="31" t="s">
        <v>187</v>
      </c>
      <c r="J72" s="62" t="str">
        <f t="shared" si="2"/>
        <v>Y</v>
      </c>
      <c r="K72" s="62" t="str">
        <f t="shared" si="7"/>
        <v/>
      </c>
      <c r="L72" s="62" t="str">
        <f t="shared" si="7"/>
        <v>Y</v>
      </c>
      <c r="M72" s="46" t="s">
        <v>10</v>
      </c>
      <c r="N72" s="46" t="s">
        <v>10</v>
      </c>
      <c r="O72" s="46" t="s">
        <v>10</v>
      </c>
      <c r="P72" s="46" t="s">
        <v>10</v>
      </c>
      <c r="Q72" s="46" t="s">
        <v>10</v>
      </c>
      <c r="S72" s="13" t="b">
        <v>1</v>
      </c>
      <c r="T72" s="13" t="b">
        <v>0</v>
      </c>
      <c r="U72" s="13" t="b">
        <v>1</v>
      </c>
      <c r="V72" s="63" t="b">
        <v>1</v>
      </c>
      <c r="W72" s="63" t="b">
        <v>0</v>
      </c>
      <c r="X72" s="63" t="b">
        <v>1</v>
      </c>
      <c r="Y72" s="19" t="str">
        <f t="shared" si="3"/>
        <v/>
      </c>
      <c r="Z72" s="19" t="str">
        <f t="shared" si="4"/>
        <v/>
      </c>
      <c r="AA72" s="19" t="str">
        <f t="shared" si="5"/>
        <v>N</v>
      </c>
      <c r="AB72" s="19" t="str">
        <f t="shared" si="6"/>
        <v>N</v>
      </c>
    </row>
    <row r="73" spans="1:28" ht="63">
      <c r="A73" s="29" t="s">
        <v>114</v>
      </c>
      <c r="B73" s="29" t="s">
        <v>123</v>
      </c>
      <c r="C73" s="30" t="s">
        <v>125</v>
      </c>
      <c r="D73" s="30" t="s">
        <v>246</v>
      </c>
      <c r="E73" s="54" t="s">
        <v>459</v>
      </c>
      <c r="F73" s="28"/>
      <c r="G73" s="27"/>
      <c r="H73" s="28"/>
      <c r="I73" s="31" t="s">
        <v>187</v>
      </c>
      <c r="J73" s="62" t="str">
        <f t="shared" si="2"/>
        <v>Y</v>
      </c>
      <c r="K73" s="62" t="str">
        <f t="shared" si="7"/>
        <v/>
      </c>
      <c r="L73" s="62" t="str">
        <f t="shared" si="7"/>
        <v>Y</v>
      </c>
      <c r="M73" s="46" t="s">
        <v>10</v>
      </c>
      <c r="N73" s="46" t="s">
        <v>10</v>
      </c>
      <c r="O73" s="46"/>
      <c r="P73" s="46" t="s">
        <v>10</v>
      </c>
      <c r="Q73" s="46" t="s">
        <v>10</v>
      </c>
      <c r="S73" s="13" t="b">
        <v>1</v>
      </c>
      <c r="T73" s="13" t="b">
        <v>0</v>
      </c>
      <c r="U73" s="13" t="b">
        <v>1</v>
      </c>
      <c r="V73" s="63" t="b">
        <v>1</v>
      </c>
      <c r="W73" s="63" t="b">
        <v>0</v>
      </c>
      <c r="X73" s="63" t="b">
        <v>1</v>
      </c>
      <c r="Y73" s="19" t="str">
        <f t="shared" si="3"/>
        <v/>
      </c>
      <c r="Z73" s="19" t="str">
        <f t="shared" si="4"/>
        <v/>
      </c>
      <c r="AA73" s="19" t="str">
        <f t="shared" si="5"/>
        <v>N</v>
      </c>
      <c r="AB73" s="19" t="str">
        <f t="shared" si="6"/>
        <v>N</v>
      </c>
    </row>
    <row r="74" spans="1:28" ht="63">
      <c r="A74" s="29" t="s">
        <v>114</v>
      </c>
      <c r="B74" s="29" t="s">
        <v>264</v>
      </c>
      <c r="C74" s="30" t="s">
        <v>265</v>
      </c>
      <c r="D74" s="30" t="s">
        <v>247</v>
      </c>
      <c r="E74" s="54" t="s">
        <v>460</v>
      </c>
      <c r="F74" s="28"/>
      <c r="G74" s="27"/>
      <c r="H74" s="28"/>
      <c r="I74" s="31"/>
      <c r="J74" s="62" t="str">
        <f t="shared" si="2"/>
        <v>Y</v>
      </c>
      <c r="K74" s="62" t="str">
        <f t="shared" si="7"/>
        <v>Y</v>
      </c>
      <c r="L74" s="62" t="str">
        <f t="shared" si="7"/>
        <v>Y</v>
      </c>
      <c r="M74" s="46" t="s">
        <v>10</v>
      </c>
      <c r="N74" s="46" t="s">
        <v>10</v>
      </c>
      <c r="O74" s="46" t="s">
        <v>10</v>
      </c>
      <c r="P74" s="46" t="s">
        <v>10</v>
      </c>
      <c r="Q74" s="46" t="s">
        <v>10</v>
      </c>
      <c r="S74" s="13" t="b">
        <v>1</v>
      </c>
      <c r="T74" s="13" t="b">
        <v>1</v>
      </c>
      <c r="U74" s="13" t="b">
        <v>1</v>
      </c>
      <c r="V74" s="63" t="b">
        <v>1</v>
      </c>
      <c r="W74" s="63" t="b">
        <v>1</v>
      </c>
      <c r="X74" s="63" t="b">
        <v>1</v>
      </c>
      <c r="Y74" s="19" t="str">
        <f t="shared" si="3"/>
        <v/>
      </c>
      <c r="Z74" s="19" t="str">
        <f t="shared" si="4"/>
        <v/>
      </c>
      <c r="AA74" s="19" t="str">
        <f t="shared" si="5"/>
        <v>N</v>
      </c>
      <c r="AB74" s="19" t="str">
        <f t="shared" si="6"/>
        <v>N</v>
      </c>
    </row>
    <row r="75" spans="1:28" ht="63">
      <c r="A75" s="29" t="s">
        <v>114</v>
      </c>
      <c r="B75" s="29" t="s">
        <v>266</v>
      </c>
      <c r="C75" s="30" t="s">
        <v>267</v>
      </c>
      <c r="D75" s="30" t="s">
        <v>248</v>
      </c>
      <c r="E75" s="30"/>
      <c r="F75" s="28"/>
      <c r="G75" s="27"/>
      <c r="H75" s="28"/>
      <c r="I75" s="31"/>
      <c r="J75" s="62" t="str">
        <f t="shared" ref="J75:J84" si="8">IF(S75=TRUE,"Y","")</f>
        <v>Y</v>
      </c>
      <c r="K75" s="62" t="str">
        <f t="shared" si="7"/>
        <v/>
      </c>
      <c r="L75" s="62" t="str">
        <f t="shared" si="7"/>
        <v>Y</v>
      </c>
      <c r="M75" s="46" t="s">
        <v>10</v>
      </c>
      <c r="N75" s="46" t="s">
        <v>10</v>
      </c>
      <c r="O75" s="46" t="s">
        <v>10</v>
      </c>
      <c r="P75" s="46" t="s">
        <v>10</v>
      </c>
      <c r="Q75" s="46" t="s">
        <v>10</v>
      </c>
      <c r="S75" s="13" t="b">
        <v>1</v>
      </c>
      <c r="T75" s="13" t="b">
        <v>0</v>
      </c>
      <c r="U75" s="13" t="b">
        <v>1</v>
      </c>
      <c r="V75" s="63" t="b">
        <v>1</v>
      </c>
      <c r="W75" s="63" t="b">
        <v>0</v>
      </c>
      <c r="X75" s="63" t="b">
        <v>1</v>
      </c>
      <c r="Y75" s="19" t="str">
        <f t="shared" ref="Y75:Y84" si="9">IF($C$2="Refinance",IF(Q75&lt;&gt;"Y","N","Y"),IF($C$2="Purchase",IF(P75&lt;&gt;"Y","N","Y"),""))</f>
        <v/>
      </c>
      <c r="Z75" s="19" t="str">
        <f t="shared" ref="Z75:Z84" si="10">IF($C$1="Conventional",IF(M75&lt;&gt;"Y","N","Y"),IF($C$1="VA",IF(N75&lt;&gt;"Y","N","Y"),IF($C$1="VA IRRRL",IF(O75&lt;&gt;"Y","N","Y"),"")))</f>
        <v/>
      </c>
      <c r="AA75" s="19" t="str">
        <f t="shared" ref="AA75:AA84" si="11">IF(OR(Y75&lt;&gt;"Y",Z75&lt;&gt;"Y"),"N","Y")</f>
        <v>N</v>
      </c>
      <c r="AB75" s="19" t="str">
        <f t="shared" ref="AB75:AB84" si="12">IF(AA75="Y",IF($C$3="Scrub",IF(J75="Y","Y","N"),IF($C$3="Intro Call",IF(K75="Y","Y","N"),IF($C$3="Realtor Call",IF(L75="Y","Y","N")))),"N")</f>
        <v>N</v>
      </c>
    </row>
    <row r="76" spans="1:28" ht="31.5">
      <c r="A76" s="29" t="s">
        <v>114</v>
      </c>
      <c r="B76" s="29" t="s">
        <v>121</v>
      </c>
      <c r="C76" s="30" t="s">
        <v>122</v>
      </c>
      <c r="D76" s="30" t="s">
        <v>249</v>
      </c>
      <c r="E76" s="54" t="s">
        <v>461</v>
      </c>
      <c r="F76" s="28"/>
      <c r="G76" s="27"/>
      <c r="H76" s="28"/>
      <c r="I76" s="31" t="s">
        <v>187</v>
      </c>
      <c r="J76" s="62" t="str">
        <f t="shared" si="8"/>
        <v>Y</v>
      </c>
      <c r="K76" s="62" t="str">
        <f t="shared" si="7"/>
        <v/>
      </c>
      <c r="L76" s="62" t="str">
        <f t="shared" si="7"/>
        <v>Y</v>
      </c>
      <c r="M76" s="46" t="s">
        <v>10</v>
      </c>
      <c r="N76" s="46" t="s">
        <v>10</v>
      </c>
      <c r="O76" s="46" t="s">
        <v>10</v>
      </c>
      <c r="P76" s="46" t="s">
        <v>10</v>
      </c>
      <c r="Q76" s="46" t="s">
        <v>10</v>
      </c>
      <c r="S76" s="13" t="b">
        <v>1</v>
      </c>
      <c r="T76" s="13" t="b">
        <v>0</v>
      </c>
      <c r="U76" s="13" t="b">
        <v>1</v>
      </c>
      <c r="V76" s="63" t="b">
        <v>1</v>
      </c>
      <c r="W76" s="63" t="b">
        <v>0</v>
      </c>
      <c r="X76" s="63" t="b">
        <v>1</v>
      </c>
      <c r="Y76" s="19" t="str">
        <f t="shared" si="9"/>
        <v/>
      </c>
      <c r="Z76" s="19" t="str">
        <f t="shared" si="10"/>
        <v/>
      </c>
      <c r="AA76" s="19" t="str">
        <f t="shared" si="11"/>
        <v>N</v>
      </c>
      <c r="AB76" s="19" t="str">
        <f t="shared" si="12"/>
        <v>N</v>
      </c>
    </row>
    <row r="77" spans="1:28" ht="126">
      <c r="A77" s="29" t="s">
        <v>114</v>
      </c>
      <c r="B77" s="29" t="s">
        <v>124</v>
      </c>
      <c r="C77" s="54" t="s">
        <v>463</v>
      </c>
      <c r="D77" s="30" t="s">
        <v>250</v>
      </c>
      <c r="E77" s="54" t="s">
        <v>462</v>
      </c>
      <c r="F77" s="28"/>
      <c r="G77" s="27"/>
      <c r="H77" s="28"/>
      <c r="I77" s="32" t="s">
        <v>42</v>
      </c>
      <c r="J77" s="62" t="str">
        <f t="shared" si="8"/>
        <v>Y</v>
      </c>
      <c r="K77" s="62" t="str">
        <f t="shared" si="7"/>
        <v>Y</v>
      </c>
      <c r="L77" s="62" t="str">
        <f t="shared" si="7"/>
        <v>Y</v>
      </c>
      <c r="M77" s="46" t="s">
        <v>10</v>
      </c>
      <c r="N77" s="46" t="s">
        <v>10</v>
      </c>
      <c r="O77" s="46" t="s">
        <v>10</v>
      </c>
      <c r="P77" s="46" t="s">
        <v>10</v>
      </c>
      <c r="Q77" s="46" t="s">
        <v>10</v>
      </c>
      <c r="S77" s="13" t="b">
        <v>1</v>
      </c>
      <c r="T77" s="13" t="b">
        <v>1</v>
      </c>
      <c r="U77" s="13" t="b">
        <v>1</v>
      </c>
      <c r="V77" s="63" t="b">
        <v>1</v>
      </c>
      <c r="W77" s="63" t="b">
        <v>1</v>
      </c>
      <c r="X77" s="63" t="b">
        <v>1</v>
      </c>
      <c r="Y77" s="19" t="str">
        <f t="shared" si="9"/>
        <v/>
      </c>
      <c r="Z77" s="19" t="str">
        <f t="shared" si="10"/>
        <v/>
      </c>
      <c r="AA77" s="19" t="str">
        <f t="shared" si="11"/>
        <v>N</v>
      </c>
      <c r="AB77" s="19" t="str">
        <f t="shared" si="12"/>
        <v>N</v>
      </c>
    </row>
    <row r="78" spans="1:28" ht="47.25">
      <c r="A78" s="29" t="s">
        <v>114</v>
      </c>
      <c r="B78" s="29" t="s">
        <v>121</v>
      </c>
      <c r="C78" s="30" t="s">
        <v>268</v>
      </c>
      <c r="D78" s="30" t="s">
        <v>251</v>
      </c>
      <c r="E78" s="54"/>
      <c r="F78" s="28"/>
      <c r="G78" s="27"/>
      <c r="H78" s="28"/>
      <c r="I78" s="31" t="s">
        <v>187</v>
      </c>
      <c r="J78" s="62" t="str">
        <f t="shared" si="8"/>
        <v>Y</v>
      </c>
      <c r="K78" s="62" t="str">
        <f t="shared" si="7"/>
        <v/>
      </c>
      <c r="L78" s="62" t="str">
        <f t="shared" si="7"/>
        <v>Y</v>
      </c>
      <c r="M78" s="46" t="s">
        <v>10</v>
      </c>
      <c r="N78" s="46"/>
      <c r="O78" s="46"/>
      <c r="P78" s="46" t="s">
        <v>10</v>
      </c>
      <c r="Q78" s="46" t="s">
        <v>10</v>
      </c>
      <c r="S78" s="13" t="b">
        <v>1</v>
      </c>
      <c r="T78" s="13" t="b">
        <v>0</v>
      </c>
      <c r="U78" s="13" t="b">
        <v>1</v>
      </c>
      <c r="V78" s="63" t="b">
        <v>1</v>
      </c>
      <c r="W78" s="63" t="b">
        <v>0</v>
      </c>
      <c r="X78" s="63" t="b">
        <v>1</v>
      </c>
      <c r="Y78" s="19" t="str">
        <f t="shared" si="9"/>
        <v/>
      </c>
      <c r="Z78" s="19" t="str">
        <f t="shared" si="10"/>
        <v/>
      </c>
      <c r="AA78" s="19" t="str">
        <f t="shared" si="11"/>
        <v>N</v>
      </c>
      <c r="AB78" s="19" t="str">
        <f t="shared" si="12"/>
        <v>N</v>
      </c>
    </row>
    <row r="79" spans="1:28" ht="157.5">
      <c r="A79" s="29" t="s">
        <v>28</v>
      </c>
      <c r="B79" s="29" t="s">
        <v>95</v>
      </c>
      <c r="C79" s="30" t="s">
        <v>96</v>
      </c>
      <c r="D79" s="30" t="s">
        <v>476</v>
      </c>
      <c r="E79" s="54" t="s">
        <v>477</v>
      </c>
      <c r="F79" s="28"/>
      <c r="G79" s="27"/>
      <c r="H79" s="28"/>
      <c r="I79" s="32" t="s">
        <v>187</v>
      </c>
      <c r="J79" s="62" t="str">
        <f t="shared" si="8"/>
        <v>Y</v>
      </c>
      <c r="K79" s="62" t="str">
        <f t="shared" si="7"/>
        <v>Y</v>
      </c>
      <c r="L79" s="62" t="str">
        <f t="shared" si="7"/>
        <v/>
      </c>
      <c r="M79" s="46" t="s">
        <v>10</v>
      </c>
      <c r="N79" s="46" t="s">
        <v>10</v>
      </c>
      <c r="O79" s="46" t="s">
        <v>10</v>
      </c>
      <c r="P79" s="46" t="s">
        <v>10</v>
      </c>
      <c r="Q79" s="46" t="s">
        <v>10</v>
      </c>
      <c r="S79" s="13" t="b">
        <v>1</v>
      </c>
      <c r="T79" s="13" t="b">
        <v>1</v>
      </c>
      <c r="U79" s="13" t="b">
        <v>0</v>
      </c>
      <c r="V79" s="63" t="b">
        <v>1</v>
      </c>
      <c r="W79" s="63" t="b">
        <v>1</v>
      </c>
      <c r="X79" s="63" t="b">
        <v>0</v>
      </c>
      <c r="Y79" s="19" t="str">
        <f t="shared" si="9"/>
        <v/>
      </c>
      <c r="Z79" s="19" t="str">
        <f t="shared" si="10"/>
        <v/>
      </c>
      <c r="AA79" s="19" t="str">
        <f t="shared" si="11"/>
        <v>N</v>
      </c>
      <c r="AB79" s="19" t="str">
        <f t="shared" si="12"/>
        <v>N</v>
      </c>
    </row>
    <row r="80" spans="1:28" ht="47.25">
      <c r="A80" s="29" t="s">
        <v>74</v>
      </c>
      <c r="B80" s="29" t="s">
        <v>128</v>
      </c>
      <c r="C80" s="30" t="s">
        <v>129</v>
      </c>
      <c r="D80" s="30" t="s">
        <v>252</v>
      </c>
      <c r="E80" s="30" t="s">
        <v>218</v>
      </c>
      <c r="F80" s="28"/>
      <c r="G80" s="27"/>
      <c r="H80" s="28"/>
      <c r="I80" s="32" t="s">
        <v>23</v>
      </c>
      <c r="J80" s="62" t="str">
        <f t="shared" si="8"/>
        <v>Y</v>
      </c>
      <c r="K80" s="62" t="str">
        <f t="shared" si="7"/>
        <v>Y</v>
      </c>
      <c r="L80" s="62" t="str">
        <f t="shared" si="7"/>
        <v>Y</v>
      </c>
      <c r="M80" s="46" t="s">
        <v>10</v>
      </c>
      <c r="N80" s="46" t="s">
        <v>10</v>
      </c>
      <c r="O80" s="46"/>
      <c r="P80" s="46" t="s">
        <v>10</v>
      </c>
      <c r="Q80" s="46"/>
      <c r="S80" s="13" t="b">
        <v>1</v>
      </c>
      <c r="T80" s="13" t="b">
        <v>1</v>
      </c>
      <c r="U80" s="13" t="b">
        <v>1</v>
      </c>
      <c r="V80" s="63" t="b">
        <v>1</v>
      </c>
      <c r="W80" s="63" t="b">
        <v>1</v>
      </c>
      <c r="X80" s="63" t="b">
        <v>1</v>
      </c>
      <c r="Y80" s="19" t="str">
        <f t="shared" si="9"/>
        <v/>
      </c>
      <c r="Z80" s="19" t="str">
        <f t="shared" si="10"/>
        <v/>
      </c>
      <c r="AA80" s="19" t="str">
        <f t="shared" si="11"/>
        <v>N</v>
      </c>
      <c r="AB80" s="19" t="str">
        <f t="shared" si="12"/>
        <v>N</v>
      </c>
    </row>
    <row r="81" spans="1:28" ht="94.5">
      <c r="A81" s="29" t="s">
        <v>74</v>
      </c>
      <c r="B81" s="29" t="s">
        <v>128</v>
      </c>
      <c r="C81" s="30" t="s">
        <v>130</v>
      </c>
      <c r="D81" s="30" t="s">
        <v>253</v>
      </c>
      <c r="E81" s="30" t="s">
        <v>193</v>
      </c>
      <c r="F81" s="28"/>
      <c r="G81" s="27"/>
      <c r="H81" s="28"/>
      <c r="I81" s="32" t="s">
        <v>24</v>
      </c>
      <c r="J81" s="62" t="str">
        <f t="shared" si="8"/>
        <v>Y</v>
      </c>
      <c r="K81" s="62" t="str">
        <f t="shared" si="7"/>
        <v>Y</v>
      </c>
      <c r="L81" s="62" t="str">
        <f t="shared" si="7"/>
        <v>Y</v>
      </c>
      <c r="M81" s="46" t="s">
        <v>10</v>
      </c>
      <c r="N81" s="46" t="s">
        <v>10</v>
      </c>
      <c r="O81" s="46"/>
      <c r="P81" s="46" t="s">
        <v>10</v>
      </c>
      <c r="Q81" s="46"/>
      <c r="S81" s="13" t="b">
        <v>1</v>
      </c>
      <c r="T81" s="13" t="b">
        <v>1</v>
      </c>
      <c r="U81" s="13" t="b">
        <v>1</v>
      </c>
      <c r="V81" s="63" t="b">
        <v>1</v>
      </c>
      <c r="W81" s="63" t="b">
        <v>1</v>
      </c>
      <c r="X81" s="63" t="b">
        <v>1</v>
      </c>
      <c r="Y81" s="19" t="str">
        <f t="shared" si="9"/>
        <v/>
      </c>
      <c r="Z81" s="19" t="str">
        <f t="shared" si="10"/>
        <v/>
      </c>
      <c r="AA81" s="19" t="str">
        <f t="shared" si="11"/>
        <v>N</v>
      </c>
      <c r="AB81" s="19" t="str">
        <f t="shared" si="12"/>
        <v>N</v>
      </c>
    </row>
    <row r="82" spans="1:28" ht="31.5">
      <c r="A82" s="29" t="s">
        <v>74</v>
      </c>
      <c r="B82" s="29" t="s">
        <v>128</v>
      </c>
      <c r="C82" s="30" t="s">
        <v>131</v>
      </c>
      <c r="D82" s="30" t="s">
        <v>254</v>
      </c>
      <c r="E82" s="30" t="s">
        <v>48</v>
      </c>
      <c r="F82" s="28"/>
      <c r="G82" s="27"/>
      <c r="H82" s="28"/>
      <c r="I82" s="32" t="s">
        <v>25</v>
      </c>
      <c r="J82" s="62" t="str">
        <f t="shared" si="8"/>
        <v>Y</v>
      </c>
      <c r="K82" s="62" t="str">
        <f t="shared" si="7"/>
        <v/>
      </c>
      <c r="L82" s="62" t="str">
        <f t="shared" si="7"/>
        <v>Y</v>
      </c>
      <c r="M82" s="46" t="s">
        <v>10</v>
      </c>
      <c r="N82" s="46" t="s">
        <v>10</v>
      </c>
      <c r="O82" s="46"/>
      <c r="P82" s="46" t="s">
        <v>10</v>
      </c>
      <c r="Q82" s="46"/>
      <c r="S82" s="13" t="b">
        <v>1</v>
      </c>
      <c r="T82" s="13" t="b">
        <v>0</v>
      </c>
      <c r="U82" s="13" t="b">
        <v>1</v>
      </c>
      <c r="V82" s="63" t="b">
        <v>1</v>
      </c>
      <c r="W82" s="63" t="b">
        <v>0</v>
      </c>
      <c r="X82" s="63" t="b">
        <v>1</v>
      </c>
      <c r="Y82" s="19" t="str">
        <f t="shared" si="9"/>
        <v/>
      </c>
      <c r="Z82" s="19" t="str">
        <f t="shared" si="10"/>
        <v/>
      </c>
      <c r="AA82" s="19" t="str">
        <f t="shared" si="11"/>
        <v>N</v>
      </c>
      <c r="AB82" s="19" t="str">
        <f t="shared" si="12"/>
        <v>N</v>
      </c>
    </row>
    <row r="83" spans="1:28" ht="157.5">
      <c r="A83" s="29" t="s">
        <v>74</v>
      </c>
      <c r="B83" s="29" t="s">
        <v>132</v>
      </c>
      <c r="C83" s="30" t="s">
        <v>134</v>
      </c>
      <c r="D83" s="30" t="s">
        <v>255</v>
      </c>
      <c r="E83" s="30" t="s">
        <v>133</v>
      </c>
      <c r="F83" s="28"/>
      <c r="G83" s="27"/>
      <c r="H83" s="28"/>
      <c r="I83" s="32" t="s">
        <v>23</v>
      </c>
      <c r="J83" s="62" t="str">
        <f t="shared" si="8"/>
        <v>Y</v>
      </c>
      <c r="K83" s="62" t="str">
        <f t="shared" si="7"/>
        <v>Y</v>
      </c>
      <c r="L83" s="62" t="str">
        <f t="shared" si="7"/>
        <v>Y</v>
      </c>
      <c r="M83" s="46" t="s">
        <v>10</v>
      </c>
      <c r="N83" s="46" t="s">
        <v>10</v>
      </c>
      <c r="O83" s="46"/>
      <c r="P83" s="46" t="s">
        <v>10</v>
      </c>
      <c r="Q83" s="46"/>
      <c r="S83" s="13" t="b">
        <v>1</v>
      </c>
      <c r="T83" s="13" t="b">
        <v>1</v>
      </c>
      <c r="U83" s="13" t="b">
        <v>1</v>
      </c>
      <c r="V83" s="63" t="b">
        <v>1</v>
      </c>
      <c r="W83" s="63" t="b">
        <v>1</v>
      </c>
      <c r="X83" s="63" t="b">
        <v>1</v>
      </c>
      <c r="Y83" s="19" t="str">
        <f t="shared" si="9"/>
        <v/>
      </c>
      <c r="Z83" s="19" t="str">
        <f t="shared" si="10"/>
        <v/>
      </c>
      <c r="AA83" s="19" t="str">
        <f t="shared" si="11"/>
        <v>N</v>
      </c>
      <c r="AB83" s="19" t="str">
        <f t="shared" si="12"/>
        <v>N</v>
      </c>
    </row>
    <row r="84" spans="1:28" ht="252">
      <c r="A84" s="29" t="s">
        <v>74</v>
      </c>
      <c r="B84" s="29" t="s">
        <v>132</v>
      </c>
      <c r="C84" s="30" t="s">
        <v>135</v>
      </c>
      <c r="D84" s="30" t="s">
        <v>256</v>
      </c>
      <c r="E84" s="54" t="s">
        <v>464</v>
      </c>
      <c r="F84" s="28"/>
      <c r="G84" s="27"/>
      <c r="H84" s="28"/>
      <c r="I84" s="32" t="s">
        <v>23</v>
      </c>
      <c r="J84" s="62" t="str">
        <f t="shared" si="8"/>
        <v>Y</v>
      </c>
      <c r="K84" s="62" t="str">
        <f t="shared" si="7"/>
        <v>Y</v>
      </c>
      <c r="L84" s="62" t="str">
        <f t="shared" si="7"/>
        <v>Y</v>
      </c>
      <c r="M84" s="46" t="s">
        <v>10</v>
      </c>
      <c r="N84" s="46" t="s">
        <v>10</v>
      </c>
      <c r="O84" s="46"/>
      <c r="P84" s="46" t="s">
        <v>10</v>
      </c>
      <c r="Q84" s="46"/>
      <c r="S84" s="13" t="b">
        <v>1</v>
      </c>
      <c r="T84" s="13" t="b">
        <v>1</v>
      </c>
      <c r="U84" s="13" t="b">
        <v>1</v>
      </c>
      <c r="V84" s="63" t="b">
        <v>1</v>
      </c>
      <c r="W84" s="63" t="b">
        <v>1</v>
      </c>
      <c r="X84" s="63" t="b">
        <v>1</v>
      </c>
      <c r="Y84" s="19" t="str">
        <f t="shared" si="9"/>
        <v/>
      </c>
      <c r="Z84" s="19" t="str">
        <f t="shared" si="10"/>
        <v/>
      </c>
      <c r="AA84" s="19" t="str">
        <f t="shared" si="11"/>
        <v>N</v>
      </c>
      <c r="AB84" s="19" t="str">
        <f t="shared" si="12"/>
        <v>N</v>
      </c>
    </row>
  </sheetData>
  <sheetProtection formatColumns="0" formatRows="0" selectLockedCells="1"/>
  <dataConsolidate/>
  <mergeCells count="6">
    <mergeCell ref="A1:B1"/>
    <mergeCell ref="A3:B3"/>
    <mergeCell ref="A4:B4"/>
    <mergeCell ref="A2:B2"/>
    <mergeCell ref="F1:L1"/>
    <mergeCell ref="F2:L3"/>
  </mergeCells>
  <phoneticPr fontId="26" type="noConversion"/>
  <conditionalFormatting sqref="K8 J5:L5 J10:L1048576">
    <cfRule type="containsText" dxfId="3" priority="49" operator="containsText" text="X">
      <formula>NOT(ISERROR(SEARCH("X",J5)))</formula>
    </cfRule>
  </conditionalFormatting>
  <dataValidations xWindow="790" yWindow="585" count="68">
    <dataValidation type="list" errorStyle="information" allowBlank="1" showInputMessage="1" showErrorMessage="1" errorTitle="USAA" error="All or Flagged or Notes or Flagged + Notes" promptTitle="USAA" prompt="Filter Items that are &quot;Flagged&quot; or Have &quot;Processor Notes&quot;" sqref="E5">
      <formula1>$AD$1:$AG$1</formula1>
    </dataValidation>
    <dataValidation type="list" errorStyle="information" allowBlank="1" showErrorMessage="1" errorTitle="USAA" error="Conv or VA" promptTitle="USAA" prompt="Is loan Conv or VA or VA IRRRL" sqref="C1">
      <formula1>$M$2:$M$4</formula1>
    </dataValidation>
    <dataValidation type="list" errorStyle="information" allowBlank="1" showErrorMessage="1" errorTitle="USAA" error="Scrub or Welcome Call or Realtor Call_x000a_" promptTitle="USAA" prompt="What is your review purpose?_x000a_Scrub or Intro Call or Realtor Call?" sqref="C3">
      <formula1>$O$2:$O$4</formula1>
    </dataValidation>
    <dataValidation type="list" errorStyle="information" allowBlank="1" showErrorMessage="1" errorTitle="USAA" error="Purchase or Refinance" promptTitle="USAA" prompt="Is loan purpose purchase or refinance?" sqref="C2">
      <formula1>$N$2:$N$3</formula1>
    </dataValidation>
    <dataValidation type="list" errorStyle="information" allowBlank="1" showErrorMessage="1" errorTitle="USAA" error="All or Flagged or Notes or Flagged + Notes" promptTitle="USAA" prompt="Which FLAGGED items do you want to include? Items flagged for Scrub, Intro Call or Realtor Call? " sqref="C4">
      <formula1>$P$2:$P$4</formula1>
    </dataValidation>
    <dataValidation allowBlank="1" showInputMessage="1" showErrorMessage="1" promptTitle="USAA" prompt="Enter who you spoke to and what the best number to call them on is" sqref="F12"/>
    <dataValidation errorStyle="information" allowBlank="1" showInputMessage="1" showErrorMessage="1" errorTitle="USAA" error="Y or N" promptTitle="USAA" prompt="Did you advise the member of the call recording disclosure?" sqref="F13"/>
    <dataValidation allowBlank="1" showInputMessage="1" showErrorMessage="1" promptTitle="USAA" prompt="Have you reviewed the notes from the LO?" sqref="F10"/>
    <dataValidation errorStyle="information" allowBlank="1" showInputMessage="1" showErrorMessage="1" errorTitle="USAA" error="Y or N" promptTitle="USAA" prompt="Did you provide your NMLS# to the member?" sqref="F11"/>
    <dataValidation errorStyle="information" allowBlank="1" showInputMessage="1" showErrorMessage="1" errorTitle="USAA" error="Y or N" promptTitle="USAA" prompt="Did you receive permission from the member to spend 10-15 minutes with them?" sqref="F15"/>
    <dataValidation errorStyle="information" allowBlank="1" showInputMessage="1" showErrorMessage="1" errorTitle="USAA" error="Y or N" promptTitle="USAA" prompt="Did the member receive the Application Package?" sqref="F17"/>
    <dataValidation allowBlank="1" showInputMessage="1" showErrorMessage="1" promptTitle="USAA" prompt="Enter occupancy information" sqref="F18"/>
    <dataValidation allowBlank="1" showInputMessage="1" showErrorMessage="1" promptTitle="USAA" prompt="Enter close date and reason for the date" sqref="F21"/>
    <dataValidation errorStyle="information" allowBlank="1" showInputMessage="1" showErrorMessage="1" errorTitle="USAA" error="Y or N" promptTitle="USAA" prompt="Does the close date match the contract?" sqref="F22"/>
    <dataValidation errorStyle="information" allowBlank="1" showInputMessage="1" showErrorMessage="1" errorTitle="USAA" error="Y or N" promptTitle="USAA" prompt="Is the rate locked and has the rate been verified with the member?" sqref="F23"/>
    <dataValidation errorStyle="information" allowBlank="1" showInputMessage="1" showErrorMessage="1" errorTitle="USAA" error="% - 2 decimal places" promptTitle="USAA" prompt="Enter the APR amount verified with the member" sqref="F24"/>
    <dataValidation allowBlank="1" showInputMessage="1" showErrorMessage="1" promptTitle="USAA" prompt="Enter the rate lock expiration date_x000a_" sqref="F25"/>
    <dataValidation allowBlank="1" showInputMessage="1" showErrorMessage="1" promptTitle="USAA" prompt="Enter the funding date" sqref="F26"/>
    <dataValidation errorStyle="information" allowBlank="1" showInputMessage="1" showErrorMessage="1" errorTitle="USAA" error="Y or N" promptTitle="USAA" prompt="Is a rate lock extension required - flag if yes?" sqref="F27:F28"/>
    <dataValidation allowBlank="1" showInputMessage="1" showErrorMessage="1" promptTitle="USAA" prompt="Enter VA Funding Fee Amount $" sqref="F30"/>
    <dataValidation errorStyle="information" allowBlank="1" showInputMessage="1" showErrorMessage="1" errorTitle="USAA" error="Financed or Paid @ Closing or Split" promptTitle="USAA" prompt="Enter how member is going to pay the VA Funding Fee?  FINANCED or PAID AT CLOSING or SPLIT" sqref="F31"/>
    <dataValidation errorStyle="information" allowBlank="1" showInputMessage="1" showErrorMessage="1" errorTitle="USAA" error="Y or N" promptTitle="USAA" prompt="Did you authenticate the member in Portal, if member called you - inbound?" sqref="F14 F16"/>
    <dataValidation allowBlank="1" showInputMessage="1" showErrorMessage="1" promptTitle="USAA" prompt="Enter Total Loan Amount $_x000a__x000a_Sales Price (PLUS) VA Funding Fee (LESS) Down Payment" sqref="F29"/>
    <dataValidation errorStyle="information" allowBlank="1" showInputMessage="1" showErrorMessage="1" errorTitle="USAA" error="Y or N" promptTitle="USAA" prompt="Does the member have another house to sell?" sqref="F35"/>
    <dataValidation allowBlank="1" showInputMessage="1" showErrorMessage="1" promptTitle="USAA" prompt="Input any updates to Member's Legal Name and Property Address_x000a_" sqref="F34"/>
    <dataValidation allowBlank="1" showInputMessage="1" showErrorMessage="1" promptTitle="USAA" prompt="Enter purpose of cash out_x000a_Lower Interest Rate _x000a_Combine Loans_x000a_Home Improvement_x000a_Detail Other" sqref="F19:F20"/>
    <dataValidation errorStyle="information" allowBlank="1" showInputMessage="1" showErrorMessage="1" errorTitle="USAA" error="Y or N" promptTitle="USAA" prompt="Member has Certificate of Eligibility_x000a__x000a_!! If No - Flag Item !!" sqref="F33"/>
    <dataValidation errorStyle="information" allowBlank="1" showInputMessage="1" showErrorMessage="1" errorTitle="USAA" error="Y or N" promptTitle="USAA" prompt="Certificate of Eligibility is in Cadence?" sqref="F32"/>
    <dataValidation errorStyle="information" allowBlank="1" showInputMessage="1" showErrorMessage="1" errorTitle="USAA" error="Y or N" promptTitle="USAA" prompt="After reviewing the DU, have all docs been addressed?_x000a__x000a_!! Flag Item !!" sqref="F36"/>
    <dataValidation allowBlank="1" showInputMessage="1" showErrorMessage="1" promptTitle="USAA" prompt="Enter subordinate financing amount_x000a_!! Flag Item !!" sqref="F48"/>
    <dataValidation allowBlank="1" showInputMessage="1" showErrorMessage="1" promptTitle="USAA" prompt="Enter location and orders received" sqref="F50"/>
    <dataValidation errorStyle="information" allowBlank="1" showInputMessage="1" showErrorMessage="1" errorTitle="USAA" error="Y or N" promptTitle="USAA" prompt="Mail Away required?" sqref="F52"/>
    <dataValidation allowBlank="1" showInputMessage="1" showErrorMessage="1" promptTitle="USAA" prompt="Enter Mail Away Address_x000a_!! Flag Item !!" sqref="F53"/>
    <dataValidation errorStyle="information" allowBlank="1" showInputMessage="1" showErrorMessage="1" errorTitle="USAA" error="Y or N" promptTitle="USAA" prompt="Is lock extension required due to Mail Away?" sqref="F54"/>
    <dataValidation type="list" errorStyle="information" allowBlank="1" showInputMessage="1" showErrorMessage="1" errorTitle="USAA" error="Y or N" promptTitle="USAA" prompt="Is Power of Attorney involved?_x000a__x000a_!! Flag Item !!" sqref="F55">
      <formula1>$Z$4:$AA$4</formula1>
    </dataValidation>
    <dataValidation errorStyle="information" allowBlank="1" showInputMessage="1" showErrorMessage="1" errorTitle="USAA" error="Y or N" promptTitle="USAA" prompt="Is there a non-purchasing / borrowing spouse involved?_x000a__x000a_!! Flag Item !!" sqref="F56"/>
    <dataValidation allowBlank="1" showInputMessage="1" showErrorMessage="1" promptTitle="USAA" prompt="Enter property sales price" sqref="F51"/>
    <dataValidation errorStyle="information" allowBlank="1" showInputMessage="1" showErrorMessage="1" errorTitle="USAA" error="Y or N" promptTitle="USAA" prompt="Enter details of equity on credit being used as an asset" sqref="F49"/>
    <dataValidation errorStyle="information" allowBlank="1" showInputMessage="1" showErrorMessage="1" errorTitle="USAA" error="Y or N" promptTitle="USAA" prompt="Employed over 2 years with current employer?" sqref="F37"/>
    <dataValidation errorStyle="information" allowBlank="1" showInputMessage="1" showErrorMessage="1" errorTitle="USAA" error="Y or N" promptTitle="USAA" prompt="Income statements gathered and reviewed?_x000a__x000a_!! Flag Item !!" sqref="F38:F41"/>
    <dataValidation errorStyle="information" allowBlank="1" showInputMessage="1" showErrorMessage="1" errorTitle="USAA" error="Y or N" promptTitle="USAA" prompt="Assets fully documented?_x000a__x000a_!! Flag Item !!" sqref="F43"/>
    <dataValidation errorStyle="information" allowBlank="1" showInputMessage="1" showErrorMessage="1" errorTitle="USAA" error="Y or N" promptTitle="USAA" prompt="Child support or alimony?" sqref="F46:F47 F42"/>
    <dataValidation errorStyle="information" allowBlank="1" showInputMessage="1" showErrorMessage="1" errorTitle="USAA" error="Y or N" promptTitle="USAA" prompt="Credit report reviewed and approved?_x000a__x000a_!! Flag Item !!" sqref="F44:F45"/>
    <dataValidation errorStyle="information" allowBlank="1" showInputMessage="1" showErrorMessage="1" errorTitle="USAA" error="Y or N" promptTitle="USAA" prompt="Estimated close amount presented to member?" sqref="F61:F62"/>
    <dataValidation errorStyle="information" allowBlank="1" showInputMessage="1" showErrorMessage="1" errorTitle="USAA" error="Amount" promptTitle="USAA" prompt="Enter P&amp;I Amount (Principal &amp; Interest)" sqref="F57"/>
    <dataValidation allowBlank="1" showInputMessage="1" showErrorMessage="1" promptTitle="USAA" prompt="Enter PITI Amount_x000a_Principal + Interest + Taxes + Insurance" sqref="F58"/>
    <dataValidation allowBlank="1" showInputMessage="1" showErrorMessage="1" promptTitle="USAA" prompt="Enter home owner association fee amount $" sqref="F59"/>
    <dataValidation errorStyle="information" allowBlank="1" showInputMessage="1" showErrorMessage="1" errorTitle="USAA" error="Y or N" promptTitle="USAA" prompt="Monthly expenses documented" sqref="F60"/>
    <dataValidation errorStyle="information" allowBlank="1" showInputMessage="1" showErrorMessage="1" errorTitle="USAA" error="Y or N or Not Req." promptTitle="USAA" prompt="Permission to contact Realtor obtained?" sqref="F81"/>
    <dataValidation errorStyle="information" allowBlank="1" showInputMessage="1" showErrorMessage="1" errorTitle="USAA" error="Y or N or Not Req." promptTitle="USAA" prompt="Known repairs documented?" sqref="F65:F66"/>
    <dataValidation errorStyle="information" allowBlank="1" showInputMessage="1" showErrorMessage="1" errorTitle="USAA" error="Y or N" promptTitle="USAA" prompt="Foreclosure or short sale?" sqref="F67"/>
    <dataValidation errorStyle="information" allowBlank="1" showInputMessage="1" showErrorMessage="1" errorTitle="USAA" error="Y or N" promptTitle="USAA" prompt="Is there a right of redemption?" sqref="F68"/>
    <dataValidation errorStyle="information" allowBlank="1" showInputMessage="1" showErrorMessage="1" errorTitle="USAA" error="Y or N" promptTitle="USAA" prompt="Is property for sale by owner?" sqref="F69"/>
    <dataValidation errorStyle="information" allowBlank="1" showInputMessage="1" showErrorMessage="1" errorTitle="USAA" error="Y or N" promptTitle="USAA" prompt="Member's home insurance is in portal?" sqref="F70"/>
    <dataValidation errorStyle="information" allowBlank="1" showInputMessage="1" showErrorMessage="1" errorTitle="USAA" error="Y or N or Not Req." promptTitle="USAA" prompt="Flood insurance documented?" sqref="F71"/>
    <dataValidation errorStyle="information" allowBlank="1" showInputMessage="1" showErrorMessage="1" errorTitle="USAA" error="Y or N or Not Req." promptTitle="USAA" prompt="Member informed of wind and hail insurance requirement?" sqref="F72"/>
    <dataValidation errorStyle="information" allowBlank="1" showInputMessage="1" showErrorMessage="1" errorTitle="USAA" error="Y or N" promptTitle="USAA" prompt="Termite inspection documented?" sqref="F73:F75"/>
    <dataValidation errorStyle="information" allowBlank="1" showInputMessage="1" showErrorMessage="1" errorTitle="USAA" error="Y or N" promptTitle="USAA" prompt="Is property a condo?" sqref="F76 F78"/>
    <dataValidation allowBlank="1" showInputMessage="1" showErrorMessage="1" promptTitle="USAA" prompt="Enter Management Company Name, Address, Email and Telephone Number" sqref="F77"/>
    <dataValidation errorStyle="information" allowBlank="1" showInputMessage="1" showErrorMessage="1" errorTitle="USAA" error="Y or N" promptTitle="USAA" prompt="Member using a Realtor?" sqref="F80"/>
    <dataValidation allowBlank="1" showInputMessage="1" showErrorMessage="1" promptTitle="USAA" prompt="Enter Realtor's Name, Address, Email and Telephone Number" sqref="F82"/>
    <dataValidation errorStyle="information" allowBlank="1" showInputMessage="1" showErrorMessage="1" errorTitle="USAA" error="Y or N" promptTitle="USAA" prompt="Were you able to conference in the Realtor when speaking with the member?_x000a__x000a_!! Flag Item !!" sqref="F83"/>
    <dataValidation errorStyle="information" allowBlank="1" showInputMessage="1" showErrorMessage="1" errorTitle="USAA" error="Y or N" promptTitle="USAA" prompt="Strong working relationship established with Realtor_x000a__x000a_!! Flag Item !!" sqref="F84"/>
    <dataValidation errorStyle="information" allowBlank="1" showInputMessage="1" showErrorMessage="1" errorTitle="USAA" error="Y or N" promptTitle="USAA" prompt="Is a trust involved?" sqref="F79"/>
    <dataValidation errorStyle="information" allowBlank="1" showInputMessage="1" showErrorMessage="1" errorTitle="USAA" error="Y or N" promptTitle="USAA" prompt="Has the appraisal been ordered?" sqref="F63"/>
    <dataValidation errorStyle="information" allowBlank="1" showInputMessage="1" showErrorMessage="1" errorTitle="USAA" error="Y or N" promptTitle="USAA" prompt="Has the member been contacted by the Appriaser?_x000a__x000a_!! Flag Item !!" sqref="F64"/>
    <dataValidation type="list" allowBlank="1" showInputMessage="1" showErrorMessage="1" sqref="H10:H84">
      <formula1>$P$2:$P$3</formula1>
    </dataValidation>
    <dataValidation type="list" allowBlank="1" showInputMessage="1" showErrorMessage="1" sqref="G10:G84">
      <formula1>$R$2:$R$4</formula1>
    </dataValidation>
  </dataValidations>
  <hyperlinks>
    <hyperlink ref="I31" r:id="rId1" display="http://team.usaa.com/sites/bank/lospilot/Shared Documents/Procedures/3. Processing/VA Specific/VA - Verify Funding Fee.pdf"/>
    <hyperlink ref="I81" r:id="rId2" display="http://team.usaa.com/sites/bank/lospilot/Shared Documents/Procedures/3. Processing/Realtor Sharing Info_Delta 169.pdf"/>
  </hyperlinks>
  <pageMargins left="0.7" right="0.7" top="0.75" bottom="0.75" header="0.3" footer="0.3"/>
  <pageSetup scale="50" fitToHeight="0" orientation="landscape" r:id="rId3"/>
  <headerFooter>
    <oddHeader>&amp;A</oddHeader>
    <oddFooter>&amp;L&amp;"Calibri Bold,Bold"&amp;K000000 Confidential&amp;C&amp;"Calibri,Regular"&amp;K000000For Internal Use Only&amp;R&amp;"Calibri,Regular"&amp;K000000Page &amp;P</oddFooter>
  </headerFooter>
  <legacyDrawing r:id="rId4"/>
</worksheet>
</file>

<file path=xl/worksheets/sheet3.xml><?xml version="1.0" encoding="utf-8"?>
<worksheet xmlns="http://schemas.openxmlformats.org/spreadsheetml/2006/main" xmlns:r="http://schemas.openxmlformats.org/officeDocument/2006/relationships">
  <sheetPr codeName="Sheet22">
    <tabColor rgb="FFFF0000"/>
  </sheetPr>
  <dimension ref="C12:C19"/>
  <sheetViews>
    <sheetView showGridLines="0" showRowColHeaders="0" workbookViewId="0"/>
  </sheetViews>
  <sheetFormatPr defaultRowHeight="15"/>
  <cols>
    <col min="1" max="16384" width="9" style="51"/>
  </cols>
  <sheetData>
    <row r="12" spans="3:3" ht="31.5">
      <c r="C12" s="50" t="s">
        <v>408</v>
      </c>
    </row>
    <row r="14" spans="3:3" ht="15.75">
      <c r="C14" s="52" t="s">
        <v>409</v>
      </c>
    </row>
    <row r="15" spans="3:3" ht="15.75">
      <c r="C15" s="52" t="s">
        <v>410</v>
      </c>
    </row>
    <row r="16" spans="3:3">
      <c r="C16" s="53"/>
    </row>
    <row r="19" spans="3:3" ht="15.75">
      <c r="C19" s="52" t="s">
        <v>411</v>
      </c>
    </row>
  </sheetData>
  <sheetProtection password="C580" sheet="1" objects="1" scenarios="1" selectLockedCells="1" selectUnlockedCells="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Sheet2">
    <tabColor theme="9"/>
  </sheetPr>
  <dimension ref="A1:F75"/>
  <sheetViews>
    <sheetView workbookViewId="0"/>
  </sheetViews>
  <sheetFormatPr defaultColWidth="15.625" defaultRowHeight="20.100000000000001" customHeight="1"/>
  <cols>
    <col min="1" max="1" width="184.875" customWidth="1"/>
    <col min="2" max="2" width="200.625" hidden="1" customWidth="1"/>
    <col min="3" max="3" width="74.875" hidden="1" customWidth="1"/>
    <col min="4" max="6" width="15.625" hidden="1" customWidth="1"/>
  </cols>
  <sheetData>
    <row r="1" spans="1:6" ht="20.100000000000001" customHeight="1">
      <c r="A1" t="str">
        <f>B1</f>
        <v>INTRO CALL NOTES</v>
      </c>
      <c r="B1" t="str">
        <f>IF('Intro Call Assistant'!F2="","INTRO CALL NOTES",'Intro Call Assistant'!F2)</f>
        <v>INTRO CALL NOTES</v>
      </c>
      <c r="C1" t="s">
        <v>192</v>
      </c>
      <c r="D1" t="s">
        <v>380</v>
      </c>
      <c r="E1" t="s">
        <v>383</v>
      </c>
      <c r="F1" t="s">
        <v>381</v>
      </c>
    </row>
    <row r="2" spans="1:6" ht="20.100000000000001" customHeight="1">
      <c r="A2" t="str">
        <f>IFERROR(INDEX($C$2:$C$75,$F2,1),"")</f>
        <v/>
      </c>
      <c r="B2" t="s">
        <v>315</v>
      </c>
      <c r="C2" t="str">
        <f>IF(ISBLANK('Intro Call Assistant'!F10),"",CONCATENATE(B2," ",('Intro Call Assistant'!F10)))</f>
        <v/>
      </c>
      <c r="D2">
        <f>ROWS($D$2:D2)</f>
        <v>1</v>
      </c>
      <c r="E2" t="str">
        <f>IF(C2&lt;&gt;"",D2,"")</f>
        <v/>
      </c>
      <c r="F2" t="str">
        <f>IFERROR(SMALL($E$2:$E$75,ROWS($E$2:E2)),"")</f>
        <v/>
      </c>
    </row>
    <row r="3" spans="1:6" ht="20.100000000000001" customHeight="1">
      <c r="A3" t="str">
        <f t="shared" ref="A3:A68" si="0">IFERROR(INDEX($C$2:$C$75,$F3,1),"")</f>
        <v/>
      </c>
      <c r="B3" t="s">
        <v>382</v>
      </c>
      <c r="C3" t="str">
        <f>IF(ISBLANK('Intro Call Assistant'!F11),"",CONCATENATE(B3," ",('Intro Call Assistant'!F11)))</f>
        <v/>
      </c>
      <c r="D3">
        <f>ROWS($D$2:D3)</f>
        <v>2</v>
      </c>
      <c r="E3" t="str">
        <f t="shared" ref="E3:E66" si="1">IF(C3&lt;&gt;"",D3,"")</f>
        <v/>
      </c>
      <c r="F3" t="str">
        <f>IFERROR(SMALL($E$2:$E$75,ROWS($E$2:E3)),"")</f>
        <v/>
      </c>
    </row>
    <row r="4" spans="1:6" ht="20.100000000000001" customHeight="1">
      <c r="A4" t="str">
        <f t="shared" si="0"/>
        <v/>
      </c>
      <c r="B4" t="s">
        <v>316</v>
      </c>
      <c r="C4" t="str">
        <f>IF(ISBLANK('Intro Call Assistant'!F12),"",CONCATENATE(B4," ",('Intro Call Assistant'!F12)))</f>
        <v/>
      </c>
      <c r="D4">
        <f>ROWS($D$2:D4)</f>
        <v>3</v>
      </c>
      <c r="E4" t="str">
        <f t="shared" si="1"/>
        <v/>
      </c>
      <c r="F4" t="str">
        <f>IFERROR(SMALL($E$2:$E$75,ROWS($E$2:E4)),"")</f>
        <v/>
      </c>
    </row>
    <row r="5" spans="1:6" ht="20.100000000000001" customHeight="1">
      <c r="A5" t="str">
        <f t="shared" si="0"/>
        <v/>
      </c>
      <c r="B5" t="s">
        <v>317</v>
      </c>
      <c r="C5" t="str">
        <f>IF(ISBLANK('Intro Call Assistant'!F13),"",CONCATENATE(B5," ",('Intro Call Assistant'!F13)))</f>
        <v/>
      </c>
      <c r="D5">
        <f>ROWS($D$2:D5)</f>
        <v>4</v>
      </c>
      <c r="E5" t="str">
        <f t="shared" si="1"/>
        <v/>
      </c>
      <c r="F5" t="str">
        <f>IFERROR(SMALL($E$2:$E$75,ROWS($E$2:E5)),"")</f>
        <v/>
      </c>
    </row>
    <row r="6" spans="1:6" ht="20.100000000000001" customHeight="1">
      <c r="A6" t="str">
        <f t="shared" si="0"/>
        <v/>
      </c>
      <c r="B6" t="s">
        <v>318</v>
      </c>
      <c r="C6" t="str">
        <f>IF(ISBLANK('Intro Call Assistant'!F14),"",CONCATENATE(B6," ",('Intro Call Assistant'!F14)))</f>
        <v/>
      </c>
      <c r="D6">
        <f>ROWS($D$2:D6)</f>
        <v>5</v>
      </c>
      <c r="E6" t="str">
        <f t="shared" si="1"/>
        <v/>
      </c>
      <c r="F6" t="str">
        <f>IFERROR(SMALL($E$2:$E$75,ROWS($E$2:E6)),"")</f>
        <v/>
      </c>
    </row>
    <row r="7" spans="1:6" ht="20.100000000000001" customHeight="1">
      <c r="A7" t="str">
        <f t="shared" si="0"/>
        <v/>
      </c>
      <c r="B7" t="s">
        <v>319</v>
      </c>
      <c r="C7" t="str">
        <f>IF(ISBLANK('Intro Call Assistant'!F15),"",CONCATENATE(B7," ",('Intro Call Assistant'!F15)))</f>
        <v/>
      </c>
      <c r="D7">
        <f>ROWS($D$2:D7)</f>
        <v>6</v>
      </c>
      <c r="E7" t="str">
        <f t="shared" si="1"/>
        <v/>
      </c>
      <c r="F7" t="str">
        <f>IFERROR(SMALL($E$2:$E$75,ROWS($E$2:E7)),"")</f>
        <v/>
      </c>
    </row>
    <row r="8" spans="1:6" ht="20.100000000000001" customHeight="1">
      <c r="A8" t="str">
        <f t="shared" si="0"/>
        <v/>
      </c>
      <c r="B8" t="s">
        <v>320</v>
      </c>
      <c r="C8" t="str">
        <f>IF(ISBLANK('Intro Call Assistant'!F16),"",CONCATENATE(B8," ",('Intro Call Assistant'!F16)))</f>
        <v/>
      </c>
      <c r="D8">
        <f>ROWS($D$2:D8)</f>
        <v>7</v>
      </c>
      <c r="E8" t="str">
        <f t="shared" si="1"/>
        <v/>
      </c>
      <c r="F8" t="str">
        <f>IFERROR(SMALL($E$2:$E$75,ROWS($E$2:E8)),"")</f>
        <v/>
      </c>
    </row>
    <row r="9" spans="1:6" ht="20.100000000000001" customHeight="1">
      <c r="A9" t="str">
        <f t="shared" si="0"/>
        <v/>
      </c>
      <c r="B9" t="s">
        <v>321</v>
      </c>
      <c r="C9" t="str">
        <f>IF(ISBLANK('Intro Call Assistant'!F17),"",CONCATENATE(B9," ",('Intro Call Assistant'!F17)))</f>
        <v/>
      </c>
      <c r="D9">
        <f>ROWS($D$2:D9)</f>
        <v>8</v>
      </c>
      <c r="E9" t="str">
        <f t="shared" si="1"/>
        <v/>
      </c>
      <c r="F9" t="str">
        <f>IFERROR(SMALL($E$2:$E$75,ROWS($E$2:E9)),"")</f>
        <v/>
      </c>
    </row>
    <row r="10" spans="1:6" ht="20.100000000000001" customHeight="1">
      <c r="A10" t="str">
        <f t="shared" si="0"/>
        <v/>
      </c>
      <c r="B10" t="s">
        <v>322</v>
      </c>
      <c r="C10" t="str">
        <f>IF(ISBLANK('Intro Call Assistant'!F18),"",CONCATENATE(B10," ",('Intro Call Assistant'!F18)))</f>
        <v/>
      </c>
      <c r="D10">
        <f>ROWS($D$2:D10)</f>
        <v>9</v>
      </c>
      <c r="E10" t="str">
        <f t="shared" si="1"/>
        <v/>
      </c>
      <c r="F10" t="str">
        <f>IFERROR(SMALL($E$2:$E$75,ROWS($E$2:E10)),"")</f>
        <v/>
      </c>
    </row>
    <row r="11" spans="1:6" ht="20.100000000000001" customHeight="1">
      <c r="A11" t="str">
        <f t="shared" si="0"/>
        <v/>
      </c>
      <c r="B11" t="s">
        <v>402</v>
      </c>
      <c r="C11" t="str">
        <f>IF(ISBLANK('Intro Call Assistant'!F19),"",CONCATENATE(B11," ",('Intro Call Assistant'!F19)))</f>
        <v/>
      </c>
      <c r="D11">
        <f>ROWS($D$2:D11)</f>
        <v>10</v>
      </c>
      <c r="E11" t="str">
        <f t="shared" si="1"/>
        <v/>
      </c>
      <c r="F11" t="str">
        <f>IFERROR(SMALL($E$2:$E$75,ROWS($E$2:E11)),"")</f>
        <v/>
      </c>
    </row>
    <row r="12" spans="1:6" ht="20.100000000000001" customHeight="1">
      <c r="A12" t="str">
        <f t="shared" si="0"/>
        <v/>
      </c>
      <c r="B12" t="s">
        <v>323</v>
      </c>
      <c r="C12" t="str">
        <f>IF(ISBLANK('Intro Call Assistant'!F20),"",CONCATENATE(B12," ",('Intro Call Assistant'!F20)))</f>
        <v/>
      </c>
      <c r="D12">
        <f>ROWS($D$2:D12)</f>
        <v>11</v>
      </c>
      <c r="E12" t="str">
        <f t="shared" si="1"/>
        <v/>
      </c>
      <c r="F12" t="str">
        <f>IFERROR(SMALL($E$2:$E$75,ROWS($E$2:E12)),"")</f>
        <v/>
      </c>
    </row>
    <row r="13" spans="1:6" ht="20.100000000000001" customHeight="1">
      <c r="A13" t="str">
        <f t="shared" si="0"/>
        <v/>
      </c>
      <c r="B13" t="s">
        <v>324</v>
      </c>
      <c r="C13" t="str">
        <f>IF(ISBLANK('Intro Call Assistant'!F21),"",CONCATENATE(B13," ",('Intro Call Assistant'!F21)))</f>
        <v/>
      </c>
      <c r="D13">
        <f>ROWS($D$2:D13)</f>
        <v>12</v>
      </c>
      <c r="E13" t="str">
        <f t="shared" si="1"/>
        <v/>
      </c>
      <c r="F13" t="str">
        <f>IFERROR(SMALL($E$2:$E$75,ROWS($E$2:E13)),"")</f>
        <v/>
      </c>
    </row>
    <row r="14" spans="1:6" ht="20.100000000000001" customHeight="1">
      <c r="A14" t="str">
        <f t="shared" si="0"/>
        <v/>
      </c>
      <c r="B14" t="s">
        <v>325</v>
      </c>
      <c r="C14" t="str">
        <f>IF(ISBLANK('Intro Call Assistant'!F22),"",CONCATENATE(B14," ",('Intro Call Assistant'!F22)))</f>
        <v/>
      </c>
      <c r="D14">
        <f>ROWS($D$2:D14)</f>
        <v>13</v>
      </c>
      <c r="E14" t="str">
        <f t="shared" si="1"/>
        <v/>
      </c>
      <c r="F14" t="str">
        <f>IFERROR(SMALL($E$2:$E$75,ROWS($E$2:E14)),"")</f>
        <v/>
      </c>
    </row>
    <row r="15" spans="1:6" ht="20.100000000000001" customHeight="1">
      <c r="A15" t="str">
        <f t="shared" si="0"/>
        <v/>
      </c>
      <c r="B15" t="s">
        <v>326</v>
      </c>
      <c r="C15" t="str">
        <f>IF(ISBLANK('Intro Call Assistant'!F23),"",CONCATENATE(B15," ",('Intro Call Assistant'!F23)))</f>
        <v/>
      </c>
      <c r="D15">
        <f>ROWS($D$2:D15)</f>
        <v>14</v>
      </c>
      <c r="E15" t="str">
        <f t="shared" si="1"/>
        <v/>
      </c>
      <c r="F15" t="str">
        <f>IFERROR(SMALL($E$2:$E$75,ROWS($E$2:E15)),"")</f>
        <v/>
      </c>
    </row>
    <row r="16" spans="1:6" ht="20.100000000000001" customHeight="1">
      <c r="A16" t="str">
        <f t="shared" si="0"/>
        <v/>
      </c>
      <c r="B16" t="s">
        <v>327</v>
      </c>
      <c r="C16" t="str">
        <f>IF(ISBLANK('Intro Call Assistant'!F24),"",CONCATENATE(B16," ",('Intro Call Assistant'!F24)))</f>
        <v/>
      </c>
      <c r="D16">
        <f>ROWS($D$2:D16)</f>
        <v>15</v>
      </c>
      <c r="E16" t="str">
        <f t="shared" si="1"/>
        <v/>
      </c>
      <c r="F16" t="str">
        <f>IFERROR(SMALL($E$2:$E$75,ROWS($E$2:E16)),"")</f>
        <v/>
      </c>
    </row>
    <row r="17" spans="1:6" ht="20.100000000000001" customHeight="1">
      <c r="A17" t="str">
        <f t="shared" si="0"/>
        <v/>
      </c>
      <c r="B17" t="s">
        <v>328</v>
      </c>
      <c r="C17" t="str">
        <f>IF(ISBLANK('Intro Call Assistant'!F25),"",CONCATENATE(B17," ",('Intro Call Assistant'!F25)))</f>
        <v/>
      </c>
      <c r="D17">
        <f>ROWS($D$2:D17)</f>
        <v>16</v>
      </c>
      <c r="E17" t="str">
        <f t="shared" si="1"/>
        <v/>
      </c>
      <c r="F17" t="str">
        <f>IFERROR(SMALL($E$2:$E$75,ROWS($E$2:E17)),"")</f>
        <v/>
      </c>
    </row>
    <row r="18" spans="1:6" ht="20.100000000000001" customHeight="1">
      <c r="A18" t="str">
        <f t="shared" si="0"/>
        <v/>
      </c>
      <c r="B18" t="s">
        <v>329</v>
      </c>
      <c r="C18" t="str">
        <f>IF(ISBLANK('Intro Call Assistant'!F26),"",CONCATENATE(B18," ",('Intro Call Assistant'!F26)))</f>
        <v/>
      </c>
      <c r="D18">
        <f>ROWS($D$2:D18)</f>
        <v>17</v>
      </c>
      <c r="E18" t="str">
        <f t="shared" si="1"/>
        <v/>
      </c>
      <c r="F18" t="str">
        <f>IFERROR(SMALL($E$2:$E$75,ROWS($E$2:E18)),"")</f>
        <v/>
      </c>
    </row>
    <row r="19" spans="1:6" ht="20.100000000000001" customHeight="1">
      <c r="A19" t="str">
        <f t="shared" si="0"/>
        <v/>
      </c>
      <c r="B19" t="s">
        <v>330</v>
      </c>
      <c r="C19" t="str">
        <f>IF(ISBLANK('Intro Call Assistant'!F27),"",CONCATENATE(B19," ",('Intro Call Assistant'!F27)))</f>
        <v/>
      </c>
      <c r="D19">
        <f>ROWS($D$2:D19)</f>
        <v>18</v>
      </c>
      <c r="E19" t="str">
        <f t="shared" si="1"/>
        <v/>
      </c>
      <c r="F19" t="str">
        <f>IFERROR(SMALL($E$2:$E$75,ROWS($E$2:E19)),"")</f>
        <v/>
      </c>
    </row>
    <row r="20" spans="1:6" ht="20.100000000000001" customHeight="1">
      <c r="A20" t="str">
        <f t="shared" si="0"/>
        <v/>
      </c>
      <c r="B20" t="s">
        <v>331</v>
      </c>
      <c r="C20" t="str">
        <f>IF(ISBLANK('Intro Call Assistant'!F29),"",CONCATENATE(B20," ",('Intro Call Assistant'!F29)))</f>
        <v/>
      </c>
      <c r="D20">
        <f>ROWS($D$2:D20)</f>
        <v>19</v>
      </c>
      <c r="E20" t="str">
        <f t="shared" si="1"/>
        <v/>
      </c>
      <c r="F20" t="str">
        <f>IFERROR(SMALL($E$2:$E$75,ROWS($E$2:E20)),"")</f>
        <v/>
      </c>
    </row>
    <row r="21" spans="1:6" ht="20.100000000000001" customHeight="1">
      <c r="A21" t="str">
        <f t="shared" si="0"/>
        <v/>
      </c>
      <c r="B21" t="s">
        <v>332</v>
      </c>
      <c r="C21" t="str">
        <f>IF(ISBLANK('Intro Call Assistant'!F30),"",CONCATENATE(B21," ",('Intro Call Assistant'!F30)))</f>
        <v/>
      </c>
      <c r="D21">
        <f>ROWS($D$2:D21)</f>
        <v>20</v>
      </c>
      <c r="E21" t="str">
        <f t="shared" si="1"/>
        <v/>
      </c>
      <c r="F21" t="str">
        <f>IFERROR(SMALL($E$2:$E$75,ROWS($E$2:E21)),"")</f>
        <v/>
      </c>
    </row>
    <row r="22" spans="1:6" ht="20.100000000000001" customHeight="1">
      <c r="A22" t="str">
        <f t="shared" si="0"/>
        <v/>
      </c>
      <c r="B22" t="s">
        <v>333</v>
      </c>
      <c r="C22" t="str">
        <f>IF(ISBLANK('Intro Call Assistant'!F31),"",CONCATENATE(B22," ",('Intro Call Assistant'!F31)))</f>
        <v/>
      </c>
      <c r="D22">
        <f>ROWS($D$2:D22)</f>
        <v>21</v>
      </c>
      <c r="E22" t="str">
        <f t="shared" si="1"/>
        <v/>
      </c>
      <c r="F22" t="str">
        <f>IFERROR(SMALL($E$2:$E$75,ROWS($E$2:E22)),"")</f>
        <v/>
      </c>
    </row>
    <row r="23" spans="1:6" ht="20.100000000000001" customHeight="1">
      <c r="A23" t="str">
        <f t="shared" si="0"/>
        <v/>
      </c>
      <c r="B23" t="s">
        <v>334</v>
      </c>
      <c r="C23" t="str">
        <f>IF(ISBLANK('Intro Call Assistant'!F32),"",CONCATENATE(B23," ",('Intro Call Assistant'!F32)))</f>
        <v/>
      </c>
      <c r="D23">
        <f>ROWS($D$2:D23)</f>
        <v>22</v>
      </c>
      <c r="E23" t="str">
        <f t="shared" si="1"/>
        <v/>
      </c>
      <c r="F23" t="str">
        <f>IFERROR(SMALL($E$2:$E$75,ROWS($E$2:E23)),"")</f>
        <v/>
      </c>
    </row>
    <row r="24" spans="1:6" ht="20.100000000000001" customHeight="1">
      <c r="A24" t="str">
        <f t="shared" si="0"/>
        <v/>
      </c>
      <c r="B24" t="s">
        <v>335</v>
      </c>
      <c r="C24" t="str">
        <f>IF(ISBLANK('Intro Call Assistant'!F33),"",CONCATENATE(B24," ",('Intro Call Assistant'!F33)))</f>
        <v/>
      </c>
      <c r="D24">
        <f>ROWS($D$2:D24)</f>
        <v>23</v>
      </c>
      <c r="E24" t="str">
        <f t="shared" si="1"/>
        <v/>
      </c>
      <c r="F24" t="str">
        <f>IFERROR(SMALL($E$2:$E$75,ROWS($E$2:E24)),"")</f>
        <v/>
      </c>
    </row>
    <row r="25" spans="1:6" ht="20.100000000000001" customHeight="1">
      <c r="A25" t="str">
        <f t="shared" si="0"/>
        <v/>
      </c>
      <c r="B25" t="s">
        <v>336</v>
      </c>
      <c r="C25" t="str">
        <f>IF(ISBLANK('Intro Call Assistant'!F34),"",CONCATENATE(B25," ",('Intro Call Assistant'!F34)))</f>
        <v/>
      </c>
      <c r="D25">
        <f>ROWS($D$2:D25)</f>
        <v>24</v>
      </c>
      <c r="E25" t="str">
        <f t="shared" si="1"/>
        <v/>
      </c>
      <c r="F25" t="str">
        <f>IFERROR(SMALL($E$2:$E$75,ROWS($E$2:E25)),"")</f>
        <v/>
      </c>
    </row>
    <row r="26" spans="1:6" ht="20.100000000000001" customHeight="1">
      <c r="A26" t="str">
        <f t="shared" si="0"/>
        <v/>
      </c>
      <c r="B26" t="s">
        <v>337</v>
      </c>
      <c r="C26" t="str">
        <f>IF(ISBLANK('Intro Call Assistant'!F35),"",CONCATENATE(B26," ",('Intro Call Assistant'!F35)))</f>
        <v/>
      </c>
      <c r="D26">
        <f>ROWS($D$2:D26)</f>
        <v>25</v>
      </c>
      <c r="E26" t="str">
        <f t="shared" si="1"/>
        <v/>
      </c>
      <c r="F26" t="str">
        <f>IFERROR(SMALL($E$2:$E$75,ROWS($E$2:E26)),"")</f>
        <v/>
      </c>
    </row>
    <row r="27" spans="1:6" ht="20.100000000000001" customHeight="1">
      <c r="A27" t="str">
        <f t="shared" si="0"/>
        <v/>
      </c>
      <c r="B27" t="s">
        <v>338</v>
      </c>
      <c r="C27" t="str">
        <f>IF(ISBLANK('Intro Call Assistant'!F36),"",CONCATENATE(B27," ",('Intro Call Assistant'!F36)))</f>
        <v/>
      </c>
      <c r="D27">
        <f>ROWS($D$2:D27)</f>
        <v>26</v>
      </c>
      <c r="E27" t="str">
        <f t="shared" si="1"/>
        <v/>
      </c>
      <c r="F27" t="str">
        <f>IFERROR(SMALL($E$2:$E$75,ROWS($E$2:E27)),"")</f>
        <v/>
      </c>
    </row>
    <row r="28" spans="1:6" ht="20.100000000000001" customHeight="1">
      <c r="A28" t="str">
        <f t="shared" si="0"/>
        <v/>
      </c>
      <c r="B28" t="s">
        <v>339</v>
      </c>
      <c r="C28" t="str">
        <f>IF(ISBLANK('Intro Call Assistant'!F37),"",CONCATENATE(B28," ",('Intro Call Assistant'!F37)))</f>
        <v/>
      </c>
      <c r="D28">
        <f>ROWS($D$2:D28)</f>
        <v>27</v>
      </c>
      <c r="E28" t="str">
        <f t="shared" si="1"/>
        <v/>
      </c>
      <c r="F28" t="str">
        <f>IFERROR(SMALL($E$2:$E$75,ROWS($E$2:E28)),"")</f>
        <v/>
      </c>
    </row>
    <row r="29" spans="1:6" ht="20.100000000000001" customHeight="1">
      <c r="A29" t="str">
        <f t="shared" si="0"/>
        <v/>
      </c>
      <c r="B29" t="s">
        <v>340</v>
      </c>
      <c r="C29" t="str">
        <f>IF(ISBLANK('Intro Call Assistant'!F38),"",CONCATENATE(B29," ",('Intro Call Assistant'!F38)))</f>
        <v/>
      </c>
      <c r="D29">
        <f>ROWS($D$2:D29)</f>
        <v>28</v>
      </c>
      <c r="E29" t="str">
        <f t="shared" si="1"/>
        <v/>
      </c>
      <c r="F29" t="str">
        <f>IFERROR(SMALL($E$2:$E$75,ROWS($E$2:E29)),"")</f>
        <v/>
      </c>
    </row>
    <row r="30" spans="1:6" ht="20.100000000000001" customHeight="1">
      <c r="A30" t="str">
        <f t="shared" si="0"/>
        <v/>
      </c>
      <c r="B30" t="s">
        <v>341</v>
      </c>
      <c r="C30" t="str">
        <f>IF(ISBLANK('Intro Call Assistant'!F39),"",CONCATENATE(B30," ",('Intro Call Assistant'!F39)))</f>
        <v/>
      </c>
      <c r="D30">
        <f>ROWS($D$2:D30)</f>
        <v>29</v>
      </c>
      <c r="E30" t="str">
        <f t="shared" si="1"/>
        <v/>
      </c>
      <c r="F30" t="str">
        <f>IFERROR(SMALL($E$2:$E$75,ROWS($E$2:E30)),"")</f>
        <v/>
      </c>
    </row>
    <row r="31" spans="1:6" ht="20.100000000000001" customHeight="1">
      <c r="A31" t="str">
        <f t="shared" si="0"/>
        <v/>
      </c>
      <c r="B31" t="s">
        <v>342</v>
      </c>
      <c r="C31" t="str">
        <f>IF(ISBLANK('Intro Call Assistant'!F40),"",CONCATENATE(B31," ",('Intro Call Assistant'!F40)))</f>
        <v/>
      </c>
      <c r="D31">
        <f>ROWS($D$2:D31)</f>
        <v>30</v>
      </c>
      <c r="E31" t="str">
        <f t="shared" si="1"/>
        <v/>
      </c>
      <c r="F31" t="str">
        <f>IFERROR(SMALL($E$2:$E$75,ROWS($E$2:E31)),"")</f>
        <v/>
      </c>
    </row>
    <row r="32" spans="1:6" ht="20.100000000000001" customHeight="1">
      <c r="A32" t="str">
        <f t="shared" si="0"/>
        <v/>
      </c>
      <c r="B32" t="s">
        <v>395</v>
      </c>
      <c r="C32" t="str">
        <f>IF(ISBLANK('Intro Call Assistant'!F41),"",CONCATENATE(B32," ",('Intro Call Assistant'!F41)))</f>
        <v/>
      </c>
      <c r="D32">
        <f>ROWS($D$2:D32)</f>
        <v>31</v>
      </c>
      <c r="E32" t="str">
        <f t="shared" si="1"/>
        <v/>
      </c>
      <c r="F32" t="str">
        <f>IFERROR(SMALL($E$2:$E$75,ROWS($E$2:E32)),"")</f>
        <v/>
      </c>
    </row>
    <row r="33" spans="1:6" ht="20.100000000000001" customHeight="1">
      <c r="A33" t="str">
        <f t="shared" si="0"/>
        <v/>
      </c>
      <c r="B33" t="s">
        <v>343</v>
      </c>
      <c r="C33" t="str">
        <f>IF(ISBLANK('Intro Call Assistant'!F42),"",CONCATENATE(B33," ",('Intro Call Assistant'!F42)))</f>
        <v/>
      </c>
      <c r="D33">
        <f>ROWS($D$2:D33)</f>
        <v>32</v>
      </c>
      <c r="E33" t="str">
        <f t="shared" si="1"/>
        <v/>
      </c>
      <c r="F33" t="str">
        <f>IFERROR(SMALL($E$2:$E$75,ROWS($E$2:E33)),"")</f>
        <v/>
      </c>
    </row>
    <row r="34" spans="1:6" ht="20.100000000000001" customHeight="1">
      <c r="A34" t="str">
        <f t="shared" si="0"/>
        <v/>
      </c>
      <c r="B34" t="s">
        <v>344</v>
      </c>
      <c r="C34" t="str">
        <f>IF(ISBLANK('Intro Call Assistant'!F43),"",CONCATENATE(B34," ",('Intro Call Assistant'!F43)))</f>
        <v/>
      </c>
      <c r="D34">
        <f>ROWS($D$2:D34)</f>
        <v>33</v>
      </c>
      <c r="E34" t="str">
        <f t="shared" si="1"/>
        <v/>
      </c>
      <c r="F34" t="str">
        <f>IFERROR(SMALL($E$2:$E$75,ROWS($E$2:E34)),"")</f>
        <v/>
      </c>
    </row>
    <row r="35" spans="1:6" ht="20.100000000000001" customHeight="1">
      <c r="A35" t="str">
        <f t="shared" si="0"/>
        <v/>
      </c>
      <c r="B35" t="s">
        <v>345</v>
      </c>
      <c r="C35" t="str">
        <f>IF(ISBLANK('Intro Call Assistant'!F44),"",CONCATENATE(B35," ",('Intro Call Assistant'!F44)))</f>
        <v/>
      </c>
      <c r="D35">
        <f>ROWS($D$2:D35)</f>
        <v>34</v>
      </c>
      <c r="E35" t="str">
        <f t="shared" si="1"/>
        <v/>
      </c>
      <c r="F35" t="str">
        <f>IFERROR(SMALL($E$2:$E$75,ROWS($E$2:E35)),"")</f>
        <v/>
      </c>
    </row>
    <row r="36" spans="1:6" ht="20.100000000000001" customHeight="1">
      <c r="A36" t="str">
        <f t="shared" si="0"/>
        <v/>
      </c>
      <c r="B36" t="s">
        <v>346</v>
      </c>
      <c r="C36" t="str">
        <f>IF(ISBLANK('Intro Call Assistant'!F45),"",CONCATENATE(B36," ",('Intro Call Assistant'!F45)))</f>
        <v/>
      </c>
      <c r="D36">
        <f>ROWS($D$2:D36)</f>
        <v>35</v>
      </c>
      <c r="E36" t="str">
        <f t="shared" si="1"/>
        <v/>
      </c>
      <c r="F36" t="str">
        <f>IFERROR(SMALL($E$2:$E$75,ROWS($E$2:E36)),"")</f>
        <v/>
      </c>
    </row>
    <row r="37" spans="1:6" ht="20.100000000000001" customHeight="1">
      <c r="A37" t="str">
        <f t="shared" si="0"/>
        <v/>
      </c>
      <c r="B37" t="s">
        <v>343</v>
      </c>
      <c r="C37" t="str">
        <f>IF(ISBLANK('Intro Call Assistant'!F46),"",CONCATENATE(B37," ",('Intro Call Assistant'!F46)))</f>
        <v/>
      </c>
      <c r="D37">
        <f>ROWS($D$2:D37)</f>
        <v>36</v>
      </c>
      <c r="E37" t="str">
        <f t="shared" si="1"/>
        <v/>
      </c>
      <c r="F37" t="str">
        <f>IFERROR(SMALL($E$2:$E$75,ROWS($E$2:E37)),"")</f>
        <v/>
      </c>
    </row>
    <row r="38" spans="1:6" ht="20.100000000000001" customHeight="1">
      <c r="A38" t="str">
        <f t="shared" si="0"/>
        <v/>
      </c>
      <c r="B38" t="s">
        <v>347</v>
      </c>
      <c r="C38" t="str">
        <f>IF(ISBLANK('Intro Call Assistant'!F47),"",CONCATENATE(B38," ",('Intro Call Assistant'!F47)))</f>
        <v/>
      </c>
      <c r="D38">
        <f>ROWS($D$2:D38)</f>
        <v>37</v>
      </c>
      <c r="E38" t="str">
        <f t="shared" si="1"/>
        <v/>
      </c>
      <c r="F38" t="str">
        <f>IFERROR(SMALL($E$2:$E$75,ROWS($E$2:E38)),"")</f>
        <v/>
      </c>
    </row>
    <row r="39" spans="1:6" ht="20.100000000000001" customHeight="1">
      <c r="A39" t="str">
        <f t="shared" si="0"/>
        <v/>
      </c>
      <c r="B39" t="s">
        <v>348</v>
      </c>
      <c r="C39" t="str">
        <f>IF(ISBLANK('Intro Call Assistant'!F48),"",CONCATENATE(B39," ",('Intro Call Assistant'!F48)))</f>
        <v/>
      </c>
      <c r="D39">
        <f>ROWS($D$2:D39)</f>
        <v>38</v>
      </c>
      <c r="E39" t="str">
        <f t="shared" si="1"/>
        <v/>
      </c>
      <c r="F39" t="str">
        <f>IFERROR(SMALL($E$2:$E$75,ROWS($E$2:E39)),"")</f>
        <v/>
      </c>
    </row>
    <row r="40" spans="1:6" ht="20.100000000000001" customHeight="1">
      <c r="A40" t="str">
        <f t="shared" si="0"/>
        <v/>
      </c>
      <c r="B40" t="s">
        <v>349</v>
      </c>
      <c r="C40" t="str">
        <f>IF(ISBLANK('Intro Call Assistant'!F49),"",CONCATENATE(B40," ",('Intro Call Assistant'!F49)))</f>
        <v/>
      </c>
      <c r="D40">
        <f>ROWS($D$2:D40)</f>
        <v>39</v>
      </c>
      <c r="E40" t="str">
        <f t="shared" si="1"/>
        <v/>
      </c>
      <c r="F40" t="str">
        <f>IFERROR(SMALL($E$2:$E$75,ROWS($E$2:E40)),"")</f>
        <v/>
      </c>
    </row>
    <row r="41" spans="1:6" ht="20.100000000000001" customHeight="1">
      <c r="A41" t="str">
        <f t="shared" si="0"/>
        <v/>
      </c>
      <c r="B41" t="s">
        <v>350</v>
      </c>
      <c r="C41" t="str">
        <f>IF(ISBLANK('Intro Call Assistant'!F50),"",CONCATENATE(B41," ",('Intro Call Assistant'!F50)))</f>
        <v/>
      </c>
      <c r="D41">
        <f>ROWS($D$2:D41)</f>
        <v>40</v>
      </c>
      <c r="E41" t="str">
        <f t="shared" si="1"/>
        <v/>
      </c>
      <c r="F41" t="str">
        <f>IFERROR(SMALL($E$2:$E$75,ROWS($E$2:E41)),"")</f>
        <v/>
      </c>
    </row>
    <row r="42" spans="1:6" ht="20.100000000000001" customHeight="1">
      <c r="A42" t="str">
        <f t="shared" si="0"/>
        <v/>
      </c>
      <c r="B42" t="s">
        <v>351</v>
      </c>
      <c r="C42" t="str">
        <f>IF(ISBLANK('Intro Call Assistant'!F51),"",CONCATENATE(B42," ",('Intro Call Assistant'!F51)))</f>
        <v/>
      </c>
      <c r="D42">
        <f>ROWS($D$2:D42)</f>
        <v>41</v>
      </c>
      <c r="E42" t="str">
        <f t="shared" si="1"/>
        <v/>
      </c>
      <c r="F42" t="str">
        <f>IFERROR(SMALL($E$2:$E$75,ROWS($E$2:E42)),"")</f>
        <v/>
      </c>
    </row>
    <row r="43" spans="1:6" ht="20.100000000000001" customHeight="1">
      <c r="A43" t="str">
        <f t="shared" si="0"/>
        <v/>
      </c>
      <c r="B43" t="s">
        <v>352</v>
      </c>
      <c r="C43" t="str">
        <f>IF(ISBLANK('Intro Call Assistant'!F52),"",CONCATENATE(B43," ",('Intro Call Assistant'!F52)))</f>
        <v/>
      </c>
      <c r="D43">
        <f>ROWS($D$2:D43)</f>
        <v>42</v>
      </c>
      <c r="E43" t="str">
        <f t="shared" si="1"/>
        <v/>
      </c>
      <c r="F43" t="str">
        <f>IFERROR(SMALL($E$2:$E$75,ROWS($E$2:E43)),"")</f>
        <v/>
      </c>
    </row>
    <row r="44" spans="1:6" ht="20.100000000000001" customHeight="1">
      <c r="A44" t="str">
        <f t="shared" si="0"/>
        <v/>
      </c>
      <c r="B44" t="s">
        <v>353</v>
      </c>
      <c r="C44" t="str">
        <f>IF(ISBLANK('Intro Call Assistant'!F53),"",CONCATENATE(B44," ",('Intro Call Assistant'!F53)))</f>
        <v/>
      </c>
      <c r="D44">
        <f>ROWS($D$2:D44)</f>
        <v>43</v>
      </c>
      <c r="E44" t="str">
        <f t="shared" si="1"/>
        <v/>
      </c>
      <c r="F44" t="str">
        <f>IFERROR(SMALL($E$2:$E$75,ROWS($E$2:E44)),"")</f>
        <v/>
      </c>
    </row>
    <row r="45" spans="1:6" ht="20.100000000000001" customHeight="1">
      <c r="A45" t="str">
        <f t="shared" si="0"/>
        <v/>
      </c>
      <c r="B45" t="s">
        <v>354</v>
      </c>
      <c r="C45" t="str">
        <f>IF(ISBLANK('Intro Call Assistant'!F54),"",CONCATENATE(B45," ",('Intro Call Assistant'!F54)))</f>
        <v/>
      </c>
      <c r="D45">
        <f>ROWS($D$2:D45)</f>
        <v>44</v>
      </c>
      <c r="E45" t="str">
        <f t="shared" si="1"/>
        <v/>
      </c>
      <c r="F45" t="str">
        <f>IFERROR(SMALL($E$2:$E$75,ROWS($E$2:E45)),"")</f>
        <v/>
      </c>
    </row>
    <row r="46" spans="1:6" ht="20.100000000000001" customHeight="1">
      <c r="A46" t="str">
        <f t="shared" si="0"/>
        <v/>
      </c>
      <c r="B46" t="s">
        <v>355</v>
      </c>
      <c r="C46" t="str">
        <f>IF(ISBLANK('Intro Call Assistant'!F55),"",CONCATENATE(B46," ",('Intro Call Assistant'!F55)))</f>
        <v/>
      </c>
      <c r="D46">
        <f>ROWS($D$2:D46)</f>
        <v>45</v>
      </c>
      <c r="E46" t="str">
        <f t="shared" si="1"/>
        <v/>
      </c>
      <c r="F46" t="str">
        <f>IFERROR(SMALL($E$2:$E$75,ROWS($E$2:E46)),"")</f>
        <v/>
      </c>
    </row>
    <row r="47" spans="1:6" ht="20.100000000000001" customHeight="1">
      <c r="A47" t="str">
        <f t="shared" si="0"/>
        <v/>
      </c>
      <c r="B47" t="s">
        <v>356</v>
      </c>
      <c r="C47" t="str">
        <f>IF(ISBLANK('Intro Call Assistant'!F56),"",CONCATENATE(B47," ",('Intro Call Assistant'!F56)))</f>
        <v/>
      </c>
      <c r="D47">
        <f>ROWS($D$2:D47)</f>
        <v>46</v>
      </c>
      <c r="E47" t="str">
        <f t="shared" si="1"/>
        <v/>
      </c>
      <c r="F47" t="str">
        <f>IFERROR(SMALL($E$2:$E$75,ROWS($E$2:E47)),"")</f>
        <v/>
      </c>
    </row>
    <row r="48" spans="1:6" ht="20.100000000000001" customHeight="1">
      <c r="A48" t="str">
        <f t="shared" si="0"/>
        <v/>
      </c>
      <c r="B48" t="s">
        <v>357</v>
      </c>
      <c r="C48" t="str">
        <f>IF(ISBLANK('Intro Call Assistant'!F57),"",CONCATENATE(B48," ",('Intro Call Assistant'!F57)))</f>
        <v/>
      </c>
      <c r="D48">
        <f>ROWS($D$2:D48)</f>
        <v>47</v>
      </c>
      <c r="E48" t="str">
        <f t="shared" si="1"/>
        <v/>
      </c>
      <c r="F48" t="str">
        <f>IFERROR(SMALL($E$2:$E$75,ROWS($E$2:E48)),"")</f>
        <v/>
      </c>
    </row>
    <row r="49" spans="1:6" ht="20.100000000000001" customHeight="1">
      <c r="A49" t="str">
        <f t="shared" si="0"/>
        <v/>
      </c>
      <c r="B49" t="s">
        <v>358</v>
      </c>
      <c r="C49" t="str">
        <f>IF(ISBLANK('Intro Call Assistant'!F58),"",CONCATENATE(B49," ",('Intro Call Assistant'!F58)))</f>
        <v/>
      </c>
      <c r="D49">
        <f>ROWS($D$2:D49)</f>
        <v>48</v>
      </c>
      <c r="E49" t="str">
        <f t="shared" si="1"/>
        <v/>
      </c>
      <c r="F49" t="str">
        <f>IFERROR(SMALL($E$2:$E$75,ROWS($E$2:E49)),"")</f>
        <v/>
      </c>
    </row>
    <row r="50" spans="1:6" ht="20.100000000000001" customHeight="1">
      <c r="A50" t="str">
        <f t="shared" si="0"/>
        <v/>
      </c>
      <c r="B50" t="s">
        <v>359</v>
      </c>
      <c r="C50" t="str">
        <f>IF(ISBLANK('Intro Call Assistant'!F59),"",CONCATENATE(B50," ",('Intro Call Assistant'!F59)))</f>
        <v/>
      </c>
      <c r="D50">
        <f>ROWS($D$2:D50)</f>
        <v>49</v>
      </c>
      <c r="E50" t="str">
        <f t="shared" si="1"/>
        <v/>
      </c>
      <c r="F50" t="str">
        <f>IFERROR(SMALL($E$2:$E$75,ROWS($E$2:E50)),"")</f>
        <v/>
      </c>
    </row>
    <row r="51" spans="1:6" ht="20.100000000000001" customHeight="1">
      <c r="A51" t="str">
        <f t="shared" si="0"/>
        <v/>
      </c>
      <c r="B51" t="s">
        <v>360</v>
      </c>
      <c r="C51" t="str">
        <f>IF(ISBLANK('Intro Call Assistant'!F60),"",CONCATENATE(B51," ",('Intro Call Assistant'!F60)))</f>
        <v/>
      </c>
      <c r="D51">
        <f>ROWS($D$2:D51)</f>
        <v>50</v>
      </c>
      <c r="E51" t="str">
        <f t="shared" si="1"/>
        <v/>
      </c>
      <c r="F51" t="str">
        <f>IFERROR(SMALL($E$2:$E$75,ROWS($E$2:E51)),"")</f>
        <v/>
      </c>
    </row>
    <row r="52" spans="1:6" ht="20.100000000000001" customHeight="1">
      <c r="A52" t="str">
        <f t="shared" si="0"/>
        <v/>
      </c>
      <c r="B52" t="s">
        <v>361</v>
      </c>
      <c r="C52" t="str">
        <f>IF(ISBLANK('Intro Call Assistant'!F61),"",CONCATENATE(B52," ",('Intro Call Assistant'!F61)))</f>
        <v/>
      </c>
      <c r="D52">
        <f>ROWS($D$2:D52)</f>
        <v>51</v>
      </c>
      <c r="E52" t="str">
        <f t="shared" si="1"/>
        <v/>
      </c>
      <c r="F52" t="str">
        <f>IFERROR(SMALL($E$2:$E$75,ROWS($E$2:E52)),"")</f>
        <v/>
      </c>
    </row>
    <row r="53" spans="1:6" ht="20.100000000000001" customHeight="1">
      <c r="A53" t="str">
        <f t="shared" si="0"/>
        <v/>
      </c>
      <c r="B53" t="s">
        <v>362</v>
      </c>
      <c r="C53" t="str">
        <f>IF(ISBLANK('Intro Call Assistant'!F62),"",CONCATENATE(B53," ",('Intro Call Assistant'!F62)))</f>
        <v/>
      </c>
      <c r="D53">
        <f>ROWS($D$2:D53)</f>
        <v>52</v>
      </c>
      <c r="E53" t="str">
        <f t="shared" si="1"/>
        <v/>
      </c>
      <c r="F53" t="str">
        <f>IFERROR(SMALL($E$2:$E$75,ROWS($E$2:E53)),"")</f>
        <v/>
      </c>
    </row>
    <row r="54" spans="1:6" ht="20.100000000000001" customHeight="1">
      <c r="A54" t="str">
        <f t="shared" si="0"/>
        <v/>
      </c>
      <c r="B54" t="s">
        <v>363</v>
      </c>
      <c r="C54" t="str">
        <f>IF(ISBLANK('Intro Call Assistant'!F63),"",CONCATENATE(B54," ",('Intro Call Assistant'!F63)))</f>
        <v/>
      </c>
      <c r="D54">
        <f>ROWS($D$2:D54)</f>
        <v>53</v>
      </c>
      <c r="E54" t="str">
        <f t="shared" si="1"/>
        <v/>
      </c>
      <c r="F54" t="str">
        <f>IFERROR(SMALL($E$2:$E$75,ROWS($E$2:E54)),"")</f>
        <v/>
      </c>
    </row>
    <row r="55" spans="1:6" ht="20.100000000000001" customHeight="1">
      <c r="A55" t="str">
        <f t="shared" si="0"/>
        <v/>
      </c>
      <c r="B55" t="s">
        <v>364</v>
      </c>
      <c r="C55" t="str">
        <f>IF(ISBLANK('Intro Call Assistant'!F64),"",CONCATENATE(B55," ",('Intro Call Assistant'!F64)))</f>
        <v/>
      </c>
      <c r="D55">
        <f>ROWS($D$2:D55)</f>
        <v>54</v>
      </c>
      <c r="E55" t="str">
        <f t="shared" si="1"/>
        <v/>
      </c>
      <c r="F55" t="str">
        <f>IFERROR(SMALL($E$2:$E$75,ROWS($E$2:E55)),"")</f>
        <v/>
      </c>
    </row>
    <row r="56" spans="1:6" ht="20.100000000000001" customHeight="1">
      <c r="A56" t="str">
        <f t="shared" si="0"/>
        <v/>
      </c>
      <c r="B56" t="s">
        <v>365</v>
      </c>
      <c r="C56" t="str">
        <f>IF(ISBLANK('Intro Call Assistant'!F65),"",CONCATENATE(B56," ",('Intro Call Assistant'!F65)))</f>
        <v/>
      </c>
      <c r="D56">
        <f>ROWS($D$2:D56)</f>
        <v>55</v>
      </c>
      <c r="E56" t="str">
        <f t="shared" si="1"/>
        <v/>
      </c>
      <c r="F56" t="str">
        <f>IFERROR(SMALL($E$2:$E$75,ROWS($E$2:E56)),"")</f>
        <v/>
      </c>
    </row>
    <row r="57" spans="1:6" ht="20.100000000000001" customHeight="1">
      <c r="A57" t="str">
        <f t="shared" si="0"/>
        <v/>
      </c>
      <c r="B57" t="s">
        <v>394</v>
      </c>
      <c r="C57" t="str">
        <f>IF(ISBLANK('Intro Call Assistant'!F66),"",CONCATENATE(B57," ",('Intro Call Assistant'!F66)))</f>
        <v/>
      </c>
      <c r="D57">
        <f>ROWS($D$2:D57)</f>
        <v>56</v>
      </c>
      <c r="E57" t="str">
        <f t="shared" si="1"/>
        <v/>
      </c>
      <c r="F57" t="str">
        <f>IFERROR(SMALL($E$2:$E$75,ROWS($E$2:E57)),"")</f>
        <v/>
      </c>
    </row>
    <row r="58" spans="1:6" ht="20.100000000000001" customHeight="1">
      <c r="A58" t="str">
        <f t="shared" si="0"/>
        <v/>
      </c>
      <c r="B58" t="s">
        <v>366</v>
      </c>
      <c r="C58" t="str">
        <f>IF(ISBLANK('Intro Call Assistant'!F67),"",CONCATENATE(B58," ",('Intro Call Assistant'!F67)))</f>
        <v/>
      </c>
      <c r="D58">
        <f>ROWS($D$2:D58)</f>
        <v>57</v>
      </c>
      <c r="E58" t="str">
        <f t="shared" si="1"/>
        <v/>
      </c>
      <c r="F58" t="str">
        <f>IFERROR(SMALL($E$2:$E$75,ROWS($E$2:E58)),"")</f>
        <v/>
      </c>
    </row>
    <row r="59" spans="1:6" ht="20.100000000000001" customHeight="1">
      <c r="A59" t="str">
        <f t="shared" si="0"/>
        <v/>
      </c>
      <c r="B59" t="s">
        <v>367</v>
      </c>
      <c r="C59" t="str">
        <f>IF(ISBLANK('Intro Call Assistant'!F68),"",CONCATENATE(B59," ",('Intro Call Assistant'!F68)))</f>
        <v/>
      </c>
      <c r="D59">
        <f>ROWS($D$2:D59)</f>
        <v>58</v>
      </c>
      <c r="E59" t="str">
        <f t="shared" si="1"/>
        <v/>
      </c>
      <c r="F59" t="str">
        <f>IFERROR(SMALL($E$2:$E$75,ROWS($E$2:E59)),"")</f>
        <v/>
      </c>
    </row>
    <row r="60" spans="1:6" ht="20.100000000000001" customHeight="1">
      <c r="A60" t="str">
        <f t="shared" si="0"/>
        <v/>
      </c>
      <c r="B60" t="s">
        <v>368</v>
      </c>
      <c r="C60" t="str">
        <f>IF(ISBLANK('Intro Call Assistant'!F69),"",CONCATENATE(B60," ",('Intro Call Assistant'!F69)))</f>
        <v/>
      </c>
      <c r="D60">
        <f>ROWS($D$2:D60)</f>
        <v>59</v>
      </c>
      <c r="E60" t="str">
        <f t="shared" si="1"/>
        <v/>
      </c>
      <c r="F60" t="str">
        <f>IFERROR(SMALL($E$2:$E$75,ROWS($E$2:E60)),"")</f>
        <v/>
      </c>
    </row>
    <row r="61" spans="1:6" ht="20.100000000000001" customHeight="1">
      <c r="A61" t="str">
        <f t="shared" si="0"/>
        <v/>
      </c>
      <c r="B61" t="s">
        <v>369</v>
      </c>
      <c r="C61" t="str">
        <f>IF(ISBLANK('Intro Call Assistant'!F70),"",CONCATENATE(B61," ",('Intro Call Assistant'!F70)))</f>
        <v/>
      </c>
      <c r="D61">
        <f>ROWS($D$2:D61)</f>
        <v>60</v>
      </c>
      <c r="E61" t="str">
        <f t="shared" si="1"/>
        <v/>
      </c>
      <c r="F61" t="str">
        <f>IFERROR(SMALL($E$2:$E$75,ROWS($E$2:E61)),"")</f>
        <v/>
      </c>
    </row>
    <row r="62" spans="1:6" ht="20.100000000000001" customHeight="1">
      <c r="A62" t="str">
        <f t="shared" si="0"/>
        <v/>
      </c>
      <c r="B62" t="s">
        <v>370</v>
      </c>
      <c r="C62" t="str">
        <f>IF(ISBLANK('Intro Call Assistant'!F71),"",CONCATENATE(B62," ",('Intro Call Assistant'!F71)))</f>
        <v/>
      </c>
      <c r="D62">
        <f>ROWS($D$2:D62)</f>
        <v>61</v>
      </c>
      <c r="E62" t="str">
        <f t="shared" si="1"/>
        <v/>
      </c>
      <c r="F62" t="str">
        <f>IFERROR(SMALL($E$2:$E$75,ROWS($E$2:E62)),"")</f>
        <v/>
      </c>
    </row>
    <row r="63" spans="1:6" ht="20.100000000000001" customHeight="1">
      <c r="A63" t="str">
        <f t="shared" si="0"/>
        <v/>
      </c>
      <c r="B63" t="s">
        <v>371</v>
      </c>
      <c r="C63" t="str">
        <f>IF(ISBLANK('Intro Call Assistant'!F72),"",CONCATENATE(B63," ",('Intro Call Assistant'!F72)))</f>
        <v/>
      </c>
      <c r="D63">
        <f>ROWS($D$2:D63)</f>
        <v>62</v>
      </c>
      <c r="E63" t="str">
        <f t="shared" si="1"/>
        <v/>
      </c>
      <c r="F63" t="str">
        <f>IFERROR(SMALL($E$2:$E$75,ROWS($E$2:E63)),"")</f>
        <v/>
      </c>
    </row>
    <row r="64" spans="1:6" ht="20.100000000000001" customHeight="1">
      <c r="A64" t="str">
        <f t="shared" si="0"/>
        <v/>
      </c>
      <c r="B64" t="s">
        <v>372</v>
      </c>
      <c r="C64" t="str">
        <f>IF(ISBLANK('Intro Call Assistant'!F73),"",CONCATENATE(B64," ",('Intro Call Assistant'!F73)))</f>
        <v/>
      </c>
      <c r="D64">
        <f>ROWS($D$2:D64)</f>
        <v>63</v>
      </c>
      <c r="E64" t="str">
        <f t="shared" si="1"/>
        <v/>
      </c>
      <c r="F64" t="str">
        <f>IFERROR(SMALL($E$2:$E$75,ROWS($E$2:E64)),"")</f>
        <v/>
      </c>
    </row>
    <row r="65" spans="1:6" ht="20.100000000000001" customHeight="1">
      <c r="A65" t="str">
        <f t="shared" si="0"/>
        <v/>
      </c>
      <c r="B65" t="s">
        <v>373</v>
      </c>
      <c r="C65" t="str">
        <f>IF(ISBLANK('Intro Call Assistant'!F74),"",CONCATENATE(B65," ",('Intro Call Assistant'!F74)))</f>
        <v/>
      </c>
      <c r="D65">
        <f>ROWS($D$2:D65)</f>
        <v>64</v>
      </c>
      <c r="E65" t="str">
        <f t="shared" si="1"/>
        <v/>
      </c>
      <c r="F65" t="str">
        <f>IFERROR(SMALL($E$2:$E$75,ROWS($E$2:E65)),"")</f>
        <v/>
      </c>
    </row>
    <row r="66" spans="1:6" ht="20.100000000000001" customHeight="1">
      <c r="A66" t="str">
        <f t="shared" si="0"/>
        <v/>
      </c>
      <c r="B66" t="s">
        <v>374</v>
      </c>
      <c r="C66" t="str">
        <f>IF(ISBLANK('Intro Call Assistant'!F75),"",CONCATENATE(B66," ",('Intro Call Assistant'!F75)))</f>
        <v/>
      </c>
      <c r="D66">
        <f>ROWS($D$2:D66)</f>
        <v>65</v>
      </c>
      <c r="E66" t="str">
        <f t="shared" si="1"/>
        <v/>
      </c>
      <c r="F66" t="str">
        <f>IFERROR(SMALL($E$2:$E$75,ROWS($E$2:E66)),"")</f>
        <v/>
      </c>
    </row>
    <row r="67" spans="1:6" ht="20.100000000000001" customHeight="1">
      <c r="A67" t="str">
        <f t="shared" si="0"/>
        <v/>
      </c>
      <c r="B67" t="s">
        <v>375</v>
      </c>
      <c r="C67" t="str">
        <f>IF(ISBLANK('Intro Call Assistant'!F76),"",CONCATENATE(B67," ",('Intro Call Assistant'!F76)))</f>
        <v/>
      </c>
      <c r="D67">
        <f>ROWS($D$2:D67)</f>
        <v>66</v>
      </c>
      <c r="E67" t="str">
        <f t="shared" ref="E67:E75" si="2">IF(C67&lt;&gt;"",D67,"")</f>
        <v/>
      </c>
      <c r="F67" t="str">
        <f>IFERROR(SMALL($E$2:$E$75,ROWS($E$2:E67)),"")</f>
        <v/>
      </c>
    </row>
    <row r="68" spans="1:6" ht="20.100000000000001" customHeight="1">
      <c r="A68" t="str">
        <f t="shared" si="0"/>
        <v/>
      </c>
      <c r="B68" t="s">
        <v>376</v>
      </c>
      <c r="C68" t="str">
        <f>IF(ISBLANK('Intro Call Assistant'!F77),"",CONCATENATE(B68," ",('Intro Call Assistant'!F77)))</f>
        <v/>
      </c>
      <c r="D68">
        <f>ROWS($D$2:D68)</f>
        <v>67</v>
      </c>
      <c r="E68" t="str">
        <f t="shared" si="2"/>
        <v/>
      </c>
      <c r="F68" t="str">
        <f>IFERROR(SMALL($E$2:$E$75,ROWS($E$2:E68)),"")</f>
        <v/>
      </c>
    </row>
    <row r="69" spans="1:6" ht="20.100000000000001" customHeight="1">
      <c r="A69" t="str">
        <f t="shared" ref="A69:A74" si="3">IFERROR(INDEX($C$2:$C$75,$F69,1),"")</f>
        <v/>
      </c>
      <c r="B69" t="s">
        <v>377</v>
      </c>
      <c r="C69" t="str">
        <f>IF(ISBLANK('Intro Call Assistant'!F78),"",CONCATENATE(B69," ",('Intro Call Assistant'!F78)))</f>
        <v/>
      </c>
      <c r="D69">
        <f>ROWS($D$2:D69)</f>
        <v>68</v>
      </c>
      <c r="E69" t="str">
        <f t="shared" si="2"/>
        <v/>
      </c>
      <c r="F69" t="str">
        <f>IFERROR(SMALL($E$2:$E$75,ROWS($E$2:E69)),"")</f>
        <v/>
      </c>
    </row>
    <row r="70" spans="1:6" ht="20.100000000000001" customHeight="1">
      <c r="A70" t="str">
        <f t="shared" si="3"/>
        <v/>
      </c>
      <c r="B70" t="s">
        <v>378</v>
      </c>
      <c r="C70" t="str">
        <f>IF(ISBLANK('Intro Call Assistant'!F79),"",CONCATENATE(B70," ",('Intro Call Assistant'!F79)))</f>
        <v/>
      </c>
      <c r="D70">
        <f>ROWS($D$2:D70)</f>
        <v>69</v>
      </c>
      <c r="E70" t="str">
        <f t="shared" si="2"/>
        <v/>
      </c>
      <c r="F70" t="str">
        <f>IFERROR(SMALL($E$2:$E$75,ROWS($E$2:E70)),"")</f>
        <v/>
      </c>
    </row>
    <row r="71" spans="1:6" ht="20.100000000000001" customHeight="1">
      <c r="A71" t="str">
        <f t="shared" si="3"/>
        <v/>
      </c>
      <c r="B71" t="s">
        <v>379</v>
      </c>
      <c r="C71" t="str">
        <f>IF(ISBLANK('Intro Call Assistant'!F80),"",CONCATENATE(B71," ",('Intro Call Assistant'!F80)))</f>
        <v/>
      </c>
      <c r="D71">
        <f>ROWS($D$2:D71)</f>
        <v>70</v>
      </c>
      <c r="E71" t="str">
        <f t="shared" si="2"/>
        <v/>
      </c>
      <c r="F71" t="str">
        <f>IFERROR(SMALL($E$2:$E$75,ROWS($E$2:E71)),"")</f>
        <v/>
      </c>
    </row>
    <row r="72" spans="1:6" ht="20.100000000000001" customHeight="1">
      <c r="A72" t="str">
        <f t="shared" si="3"/>
        <v/>
      </c>
      <c r="B72" t="s">
        <v>385</v>
      </c>
      <c r="C72" t="str">
        <f>IF(ISBLANK('Intro Call Assistant'!F81),"",CONCATENATE(B72," ",('Intro Call Assistant'!F81)))</f>
        <v/>
      </c>
      <c r="D72">
        <f>ROWS($D$2:D72)</f>
        <v>71</v>
      </c>
      <c r="E72" t="str">
        <f t="shared" si="2"/>
        <v/>
      </c>
      <c r="F72" t="str">
        <f>IFERROR(SMALL($E$2:$E$75,ROWS($E$2:E72)),"")</f>
        <v/>
      </c>
    </row>
    <row r="73" spans="1:6" ht="20.100000000000001" customHeight="1">
      <c r="A73" t="str">
        <f t="shared" si="3"/>
        <v/>
      </c>
      <c r="B73" t="s">
        <v>386</v>
      </c>
      <c r="C73" t="str">
        <f>IF(ISBLANK('Intro Call Assistant'!F82),"",CONCATENATE(B73," ",('Intro Call Assistant'!F82)))</f>
        <v/>
      </c>
      <c r="D73">
        <f>ROWS($D$2:D73)</f>
        <v>72</v>
      </c>
      <c r="E73" t="str">
        <f t="shared" si="2"/>
        <v/>
      </c>
      <c r="F73" t="str">
        <f>IFERROR(SMALL($E$2:$E$75,ROWS($E$2:E73)),"")</f>
        <v/>
      </c>
    </row>
    <row r="74" spans="1:6" ht="20.100000000000001" customHeight="1">
      <c r="A74" t="str">
        <f t="shared" si="3"/>
        <v/>
      </c>
      <c r="B74" t="s">
        <v>387</v>
      </c>
      <c r="C74" t="str">
        <f>IF(ISBLANK('Intro Call Assistant'!F83),"",CONCATENATE(B74," ",('Intro Call Assistant'!F83)))</f>
        <v/>
      </c>
      <c r="D74">
        <f>ROWS($D$2:D74)</f>
        <v>73</v>
      </c>
      <c r="E74" t="str">
        <f t="shared" si="2"/>
        <v/>
      </c>
      <c r="F74" t="str">
        <f>IFERROR(SMALL($E$2:$E$75,ROWS($E$2:E74)),"")</f>
        <v/>
      </c>
    </row>
    <row r="75" spans="1:6" ht="20.100000000000001" customHeight="1">
      <c r="A75" t="str">
        <f>IFERROR(INDEX($C$2:$C$75,$F75,1),"")</f>
        <v/>
      </c>
      <c r="B75" t="s">
        <v>384</v>
      </c>
      <c r="C75" t="str">
        <f>IF(ISBLANK('Intro Call Assistant'!F84),"",CONCATENATE(B75," ",('Intro Call Assistant'!F84)))</f>
        <v/>
      </c>
      <c r="D75">
        <f>ROWS($D$2:D75)</f>
        <v>74</v>
      </c>
      <c r="E75" t="str">
        <f t="shared" si="2"/>
        <v/>
      </c>
      <c r="F75" t="str">
        <f>IFERROR(SMALL($E$2:$E$75,ROWS($E$2:E75)),"")</f>
        <v/>
      </c>
    </row>
  </sheetData>
  <pageMargins left="0.7" right="0.7" top="0.75" bottom="0.75" header="0.3" footer="0.3"/>
  <pageSetup orientation="portrait" horizontalDpi="0" verticalDpi="0"/>
</worksheet>
</file>

<file path=xl/worksheets/sheet5.xml><?xml version="1.0" encoding="utf-8"?>
<worksheet xmlns="http://schemas.openxmlformats.org/spreadsheetml/2006/main" xmlns:r="http://schemas.openxmlformats.org/officeDocument/2006/relationships">
  <sheetPr codeName="Sheet4">
    <tabColor theme="4" tint="0.39997558519241921"/>
    <pageSetUpPr fitToPage="1"/>
  </sheetPr>
  <dimension ref="B1:B36"/>
  <sheetViews>
    <sheetView showGridLines="0" showRowColHeaders="0" topLeftCell="A17" workbookViewId="0">
      <selection activeCell="B34" sqref="B1:B35"/>
    </sheetView>
  </sheetViews>
  <sheetFormatPr defaultColWidth="10.875" defaultRowHeight="15.75"/>
  <cols>
    <col min="1" max="1" width="10.875" style="2"/>
    <col min="2" max="2" width="115.375" style="2" customWidth="1"/>
    <col min="3" max="16384" width="10.875" style="2"/>
  </cols>
  <sheetData>
    <row r="1" spans="2:2">
      <c r="B1" s="1" t="s">
        <v>169</v>
      </c>
    </row>
    <row r="2" spans="2:2" ht="37.5">
      <c r="B2" s="22" t="s">
        <v>194</v>
      </c>
    </row>
    <row r="3" spans="2:2">
      <c r="B3" s="3"/>
    </row>
    <row r="4" spans="2:2" ht="45">
      <c r="B4" s="3" t="s">
        <v>182</v>
      </c>
    </row>
    <row r="5" spans="2:2">
      <c r="B5" s="3"/>
    </row>
    <row r="6" spans="2:2" ht="30">
      <c r="B6" s="3" t="s">
        <v>183</v>
      </c>
    </row>
    <row r="7" spans="2:2">
      <c r="B7" s="3"/>
    </row>
    <row r="8" spans="2:2">
      <c r="B8" s="3" t="s">
        <v>181</v>
      </c>
    </row>
    <row r="9" spans="2:2">
      <c r="B9" s="3"/>
    </row>
    <row r="10" spans="2:2">
      <c r="B10" s="3" t="s">
        <v>173</v>
      </c>
    </row>
    <row r="11" spans="2:2">
      <c r="B11" s="3" t="s">
        <v>174</v>
      </c>
    </row>
    <row r="12" spans="2:2">
      <c r="B12" s="3" t="s">
        <v>175</v>
      </c>
    </row>
    <row r="13" spans="2:2">
      <c r="B13" s="3" t="s">
        <v>176</v>
      </c>
    </row>
    <row r="14" spans="2:2">
      <c r="B14" s="3" t="s">
        <v>177</v>
      </c>
    </row>
    <row r="15" spans="2:2">
      <c r="B15" s="3"/>
    </row>
    <row r="16" spans="2:2" ht="30">
      <c r="B16" s="3" t="s">
        <v>170</v>
      </c>
    </row>
    <row r="17" spans="2:2">
      <c r="B17" s="3"/>
    </row>
    <row r="18" spans="2:2">
      <c r="B18" s="3" t="s">
        <v>178</v>
      </c>
    </row>
    <row r="19" spans="2:2" ht="30.75">
      <c r="B19" s="3" t="s">
        <v>179</v>
      </c>
    </row>
    <row r="21" spans="2:2" ht="30">
      <c r="B21" s="3" t="s">
        <v>180</v>
      </c>
    </row>
    <row r="23" spans="2:2">
      <c r="B23" s="42" t="s">
        <v>293</v>
      </c>
    </row>
    <row r="24" spans="2:2">
      <c r="B24" s="43" t="s">
        <v>294</v>
      </c>
    </row>
    <row r="25" spans="2:2">
      <c r="B25" s="43" t="s">
        <v>295</v>
      </c>
    </row>
    <row r="26" spans="2:2">
      <c r="B26" s="43" t="s">
        <v>296</v>
      </c>
    </row>
    <row r="27" spans="2:2">
      <c r="B27" s="3" t="s">
        <v>310</v>
      </c>
    </row>
    <row r="28" spans="2:2">
      <c r="B28" s="43" t="s">
        <v>297</v>
      </c>
    </row>
    <row r="31" spans="2:2">
      <c r="B31" s="42" t="s">
        <v>298</v>
      </c>
    </row>
    <row r="32" spans="2:2">
      <c r="B32" s="43" t="s">
        <v>299</v>
      </c>
    </row>
    <row r="33" spans="2:2">
      <c r="B33" s="3" t="s">
        <v>311</v>
      </c>
    </row>
    <row r="34" spans="2:2">
      <c r="B34" s="3" t="s">
        <v>312</v>
      </c>
    </row>
    <row r="35" spans="2:2">
      <c r="B35" s="43" t="s">
        <v>300</v>
      </c>
    </row>
    <row r="36" spans="2:2">
      <c r="B36" s="43"/>
    </row>
  </sheetData>
  <phoneticPr fontId="26" type="noConversion"/>
  <pageMargins left="0.7" right="0.7" top="0.75" bottom="0.75" header="0.3" footer="0.3"/>
  <pageSetup scale="99" orientation="portrait" horizontalDpi="0" verticalDpi="0"/>
  <headerFooter>
    <oddHeader>&amp;A</oddHeader>
    <oddFooter>&amp;L&amp;"Calibri Bold,Bold"&amp;K000000 Confidential&amp;C&amp;"Calibri,Regular"&amp;K000000For Internal Use Only&amp;R&amp;"Calibri,Regular"&amp;K000000Page &amp;P</oddFooter>
  </headerFooter>
</worksheet>
</file>

<file path=xl/worksheets/sheet6.xml><?xml version="1.0" encoding="utf-8"?>
<worksheet xmlns="http://schemas.openxmlformats.org/spreadsheetml/2006/main" xmlns:r="http://schemas.openxmlformats.org/officeDocument/2006/relationships">
  <sheetPr codeName="Sheet3">
    <tabColor theme="3" tint="0.59999389629810485"/>
    <pageSetUpPr fitToPage="1"/>
  </sheetPr>
  <dimension ref="B1:D16"/>
  <sheetViews>
    <sheetView showGridLines="0" showRowColHeaders="0" workbookViewId="0">
      <selection activeCell="B3" sqref="B3:B8"/>
    </sheetView>
  </sheetViews>
  <sheetFormatPr defaultColWidth="10.875" defaultRowHeight="15.75"/>
  <cols>
    <col min="1" max="1" width="10.875" style="7"/>
    <col min="2" max="2" width="20.875" style="7" customWidth="1"/>
    <col min="3" max="4" width="95.625" style="7" customWidth="1"/>
    <col min="5" max="16384" width="10.875" style="7"/>
  </cols>
  <sheetData>
    <row r="1" spans="2:4" ht="16.5" thickBot="1"/>
    <row r="2" spans="2:4" ht="16.5" thickBot="1">
      <c r="B2" s="4" t="s">
        <v>138</v>
      </c>
      <c r="C2" s="5" t="s">
        <v>139</v>
      </c>
      <c r="D2" s="6" t="s">
        <v>140</v>
      </c>
    </row>
    <row r="3" spans="2:4" ht="42" customHeight="1" thickTop="1">
      <c r="B3" s="79" t="s">
        <v>141</v>
      </c>
      <c r="C3" s="82" t="s">
        <v>142</v>
      </c>
      <c r="D3" s="8" t="s">
        <v>143</v>
      </c>
    </row>
    <row r="4" spans="2:4" ht="42" customHeight="1">
      <c r="B4" s="80"/>
      <c r="C4" s="83"/>
      <c r="D4" s="8" t="s">
        <v>144</v>
      </c>
    </row>
    <row r="5" spans="2:4" ht="42" customHeight="1">
      <c r="B5" s="80"/>
      <c r="C5" s="83"/>
      <c r="D5" s="8" t="s">
        <v>145</v>
      </c>
    </row>
    <row r="6" spans="2:4" ht="42" customHeight="1">
      <c r="B6" s="80"/>
      <c r="C6" s="83"/>
      <c r="D6" s="8" t="s">
        <v>146</v>
      </c>
    </row>
    <row r="7" spans="2:4" ht="42" customHeight="1">
      <c r="B7" s="80"/>
      <c r="C7" s="83"/>
      <c r="D7" s="8" t="s">
        <v>147</v>
      </c>
    </row>
    <row r="8" spans="2:4" ht="42" customHeight="1" thickBot="1">
      <c r="B8" s="81"/>
      <c r="C8" s="84"/>
      <c r="D8" s="9" t="s">
        <v>148</v>
      </c>
    </row>
    <row r="9" spans="2:4" ht="42" customHeight="1" thickBot="1">
      <c r="B9" s="10" t="s">
        <v>149</v>
      </c>
      <c r="C9" s="11" t="s">
        <v>150</v>
      </c>
      <c r="D9" s="9" t="s">
        <v>151</v>
      </c>
    </row>
    <row r="10" spans="2:4" ht="42" customHeight="1">
      <c r="B10" s="85" t="s">
        <v>152</v>
      </c>
      <c r="C10" s="86" t="s">
        <v>153</v>
      </c>
      <c r="D10" s="8" t="s">
        <v>154</v>
      </c>
    </row>
    <row r="11" spans="2:4" ht="42" customHeight="1" thickBot="1">
      <c r="B11" s="81"/>
      <c r="C11" s="84"/>
      <c r="D11" s="9" t="s">
        <v>155</v>
      </c>
    </row>
    <row r="12" spans="2:4" ht="47.1" customHeight="1" thickBot="1">
      <c r="B12" s="10" t="s">
        <v>156</v>
      </c>
      <c r="C12" s="11" t="s">
        <v>157</v>
      </c>
      <c r="D12" s="9" t="s">
        <v>171</v>
      </c>
    </row>
    <row r="13" spans="2:4" ht="42" customHeight="1" thickBot="1">
      <c r="B13" s="10" t="s">
        <v>158</v>
      </c>
      <c r="C13" s="11" t="s">
        <v>159</v>
      </c>
      <c r="D13" s="9" t="s">
        <v>172</v>
      </c>
    </row>
    <row r="14" spans="2:4" ht="42" customHeight="1" thickBot="1">
      <c r="B14" s="10" t="s">
        <v>160</v>
      </c>
      <c r="C14" s="11" t="s">
        <v>161</v>
      </c>
      <c r="D14" s="9" t="s">
        <v>162</v>
      </c>
    </row>
    <row r="15" spans="2:4" ht="42" customHeight="1" thickBot="1">
      <c r="B15" s="10" t="s">
        <v>163</v>
      </c>
      <c r="C15" s="11" t="s">
        <v>164</v>
      </c>
      <c r="D15" s="9" t="s">
        <v>165</v>
      </c>
    </row>
    <row r="16" spans="2:4" ht="42" customHeight="1" thickBot="1">
      <c r="B16" s="10" t="s">
        <v>166</v>
      </c>
      <c r="C16" s="11" t="s">
        <v>167</v>
      </c>
      <c r="D16" s="9" t="s">
        <v>168</v>
      </c>
    </row>
  </sheetData>
  <mergeCells count="4">
    <mergeCell ref="B3:B8"/>
    <mergeCell ref="C3:C8"/>
    <mergeCell ref="B10:B11"/>
    <mergeCell ref="C10:C11"/>
  </mergeCells>
  <phoneticPr fontId="26" type="noConversion"/>
  <printOptions horizontalCentered="1" verticalCentered="1"/>
  <pageMargins left="0.7" right="0.7" top="0.75" bottom="0.75" header="0.3" footer="0.3"/>
  <pageSetup scale="51" orientation="landscape" horizontalDpi="0" verticalDpi="0"/>
  <headerFooter>
    <oddHeader>&amp;A</oddHeader>
    <oddFooter>&amp;L&amp;"Calibri Bold,Bold"&amp;K000000 Confidential&amp;C&amp;"Calibri,Regular"&amp;K000000For Internal Use Only&amp;R&amp;"Calibri,Regular"&amp;K000000Page &amp;P</oddFooter>
  </headerFooter>
</worksheet>
</file>

<file path=xl/worksheets/sheet7.xml><?xml version="1.0" encoding="utf-8"?>
<worksheet xmlns="http://schemas.openxmlformats.org/spreadsheetml/2006/main" xmlns:r="http://schemas.openxmlformats.org/officeDocument/2006/relationships">
  <sheetPr codeName="Sheet5">
    <tabColor rgb="FFFFFF00"/>
    <pageSetUpPr fitToPage="1"/>
  </sheetPr>
  <dimension ref="A1:G1"/>
  <sheetViews>
    <sheetView showGridLines="0" workbookViewId="0">
      <pane ySplit="1" topLeftCell="A2" activePane="bottomLeft" state="frozen"/>
      <selection pane="bottomLeft" sqref="A1:B1"/>
    </sheetView>
  </sheetViews>
  <sheetFormatPr defaultColWidth="8.875" defaultRowHeight="15"/>
  <cols>
    <col min="1" max="1" width="14.5" style="33" customWidth="1"/>
    <col min="2" max="2" width="104.75" style="34" customWidth="1"/>
    <col min="3" max="3" width="10.125" style="35" customWidth="1"/>
    <col min="4" max="4" width="10.375" style="33" hidden="1" customWidth="1"/>
    <col min="5" max="5" width="14.125" style="33" hidden="1" customWidth="1"/>
    <col min="6" max="6" width="13.5" style="33" hidden="1" customWidth="1"/>
    <col min="7" max="7" width="14.5" style="33" hidden="1" customWidth="1"/>
    <col min="8" max="26" width="0" style="33" hidden="1" customWidth="1"/>
    <col min="27" max="16384" width="8.875" style="33"/>
  </cols>
  <sheetData>
    <row r="1" spans="1:2" ht="26.25">
      <c r="A1" s="87" t="s">
        <v>314</v>
      </c>
      <c r="B1" s="87"/>
    </row>
  </sheetData>
  <mergeCells count="1">
    <mergeCell ref="A1:B1"/>
  </mergeCells>
  <phoneticPr fontId="26" type="noConversion"/>
  <conditionalFormatting sqref="C1:C1048576">
    <cfRule type="containsText" dxfId="2" priority="1" operator="containsText" text="Low">
      <formula>NOT(ISERROR(SEARCH("Low",C1)))</formula>
    </cfRule>
    <cfRule type="containsText" dxfId="1" priority="2" operator="containsText" text="Medium">
      <formula>NOT(ISERROR(SEARCH("Medium",C1)))</formula>
    </cfRule>
    <cfRule type="containsText" dxfId="0" priority="3" operator="containsText" text="High">
      <formula>NOT(ISERROR(SEARCH("High",C1)))</formula>
    </cfRule>
  </conditionalFormatting>
  <pageMargins left="0.7" right="0.7" top="0.75" bottom="0.75" header="0.3" footer="0.3"/>
  <pageSetup scale="79" orientation="portrait" horizontalDpi="1200" verticalDpi="1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General Administration" ma:contentTypeID="0x01010070FC9A67B0B0144CB3E6658DBAAE5B760A0100986FB12E3EC0C04BBB106AB61D0355D6" ma:contentTypeVersion="27" ma:contentTypeDescription="Departmental, administrative, and management activities." ma:contentTypeScope="" ma:versionID="a9901d9c4254b3179b085f77ea5e52b5">
  <xsd:schema xmlns:xsd="http://www.w3.org/2001/XMLSchema" xmlns:xs="http://www.w3.org/2001/XMLSchema" xmlns:p="http://schemas.microsoft.com/office/2006/metadata/properties" xmlns:ns2="f129ca89-7c0a-4c13-ae90-2e317f486eab" targetNamespace="http://schemas.microsoft.com/office/2006/metadata/properties" ma:root="true" ma:fieldsID="b23361d4382f30cea4421982b959cd73" ns2:_="">
    <xsd:import namespace="f129ca89-7c0a-4c13-ae90-2e317f486eab"/>
    <xsd:element name="properties">
      <xsd:complexType>
        <xsd:sequence>
          <xsd:element name="documentManagement">
            <xsd:complexType>
              <xsd:all>
                <xsd:element ref="ns2:Information_x0020_Classification"/>
                <xsd:element ref="ns2:Content_x0020_Status"/>
                <xsd:element ref="ns2:Final_x0020_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129ca89-7c0a-4c13-ae90-2e317f486eab" elementFormDefault="qualified">
    <xsd:import namespace="http://schemas.microsoft.com/office/2006/documentManagement/types"/>
    <xsd:import namespace="http://schemas.microsoft.com/office/infopath/2007/PartnerControls"/>
    <xsd:element name="Information_x0020_Classification" ma:index="8" ma:displayName="Information Classification" ma:default="For Internal Use Only" ma:format="Dropdown" ma:internalName="Information_x0020_Classification">
      <xsd:simpleType>
        <xsd:restriction base="dms:Choice">
          <xsd:enumeration value="For Internal Use Only"/>
          <xsd:enumeration value="Confidential"/>
          <xsd:enumeration value="Restricted"/>
          <xsd:enumeration value="Public Information"/>
        </xsd:restriction>
      </xsd:simpleType>
    </xsd:element>
    <xsd:element name="Content_x0020_Status" ma:index="9" ma:displayName="Content Status" ma:default="Work in Progress" ma:format="Dropdown" ma:internalName="Content_x0020_Status">
      <xsd:simpleType>
        <xsd:restriction base="dms:Choice">
          <xsd:enumeration value="Work in Progress"/>
          <xsd:enumeration value="Final"/>
        </xsd:restriction>
      </xsd:simpleType>
    </xsd:element>
    <xsd:element name="Final_x0020_Date" ma:index="10" nillable="true" ma:displayName="Final Date" ma:format="DateOnly" ma:hidden="true" ma:internalName="Final_x0020_Date" ma:readOnly="fals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haredContentType xmlns="Microsoft.SharePoint.Taxonomy.ContentTypeSync" SourceId="c2fca7ab-044c-440c-850a-8951290576b9" ContentTypeId="0x01010070FC9A67B0B0144CB3E6658DBAAE5B76" PreviousValue="true"/>
</file>

<file path=customXml/item3.xml><?xml version="1.0" encoding="utf-8"?>
<p:properties xmlns:p="http://schemas.microsoft.com/office/2006/metadata/properties" xmlns:xsi="http://www.w3.org/2001/XMLSchema-instance" xmlns:pc="http://schemas.microsoft.com/office/infopath/2007/PartnerControls">
  <documentManagement>
    <Content_x0020_Status xmlns="f129ca89-7c0a-4c13-ae90-2e317f486eab">Work in Progress</Content_x0020_Status>
    <Information_x0020_Classification xmlns="f129ca89-7c0a-4c13-ae90-2e317f486eab">For Internal Use Only</Information_x0020_Classification>
    <Final_x0020_Date xmlns="f129ca89-7c0a-4c13-ae90-2e317f486eab" xsi:nil="true"/>
  </documentManagement>
</p:properties>
</file>

<file path=customXml/item4.xml><?xml version="1.0" encoding="utf-8"?>
<?mso-contentType ?>
<spe:Receivers xmlns:spe="http://schemas.microsoft.com/sharepoint/events"/>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4FDBBB9-5390-47EC-AED8-1CB5B45BFD1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129ca89-7c0a-4c13-ae90-2e317f486ea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E7CA10D-223B-4BDA-8A39-33884B089835}">
  <ds:schemaRefs>
    <ds:schemaRef ds:uri="Microsoft.SharePoint.Taxonomy.ContentTypeSync"/>
  </ds:schemaRefs>
</ds:datastoreItem>
</file>

<file path=customXml/itemProps3.xml><?xml version="1.0" encoding="utf-8"?>
<ds:datastoreItem xmlns:ds="http://schemas.openxmlformats.org/officeDocument/2006/customXml" ds:itemID="{2092CBC2-CD24-4EED-97A9-1086693431BB}">
  <ds:schemaRefs>
    <ds:schemaRef ds:uri="http://schemas.microsoft.com/office/2006/metadata/properties"/>
    <ds:schemaRef ds:uri="http://schemas.microsoft.com/office/infopath/2007/PartnerControls"/>
    <ds:schemaRef ds:uri="f129ca89-7c0a-4c13-ae90-2e317f486eab"/>
  </ds:schemaRefs>
</ds:datastoreItem>
</file>

<file path=customXml/itemProps4.xml><?xml version="1.0" encoding="utf-8"?>
<ds:datastoreItem xmlns:ds="http://schemas.openxmlformats.org/officeDocument/2006/customXml" ds:itemID="{27212275-17D9-4B38-8AA6-4E36E4DBE61F}">
  <ds:schemaRefs>
    <ds:schemaRef ds:uri="http://schemas.microsoft.com/sharepoint/events"/>
  </ds:schemaRefs>
</ds:datastoreItem>
</file>

<file path=customXml/itemProps5.xml><?xml version="1.0" encoding="utf-8"?>
<ds:datastoreItem xmlns:ds="http://schemas.openxmlformats.org/officeDocument/2006/customXml" ds:itemID="{8B748CA7-9ABF-463B-A211-1A15852B6A9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Instructions</vt:lpstr>
      <vt:lpstr>Intro Call Assistant</vt:lpstr>
      <vt:lpstr>Intro Call Best Practices</vt:lpstr>
      <vt:lpstr>Member Persona Traits</vt:lpstr>
      <vt:lpstr>Questions</vt:lpstr>
      <vt:lpstr>'Intro Call Assistant'!Criteria</vt:lpstr>
      <vt:lpstr>Notes</vt:lpstr>
      <vt:lpstr>'Intro Call Assistant'!Print_Titles</vt:lpstr>
      <vt:lpstr>YesNo</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German Candelaria</dc:creator>
  <cp:lastModifiedBy>German Candelaria</cp:lastModifiedBy>
  <dcterms:created xsi:type="dcterms:W3CDTF">2016-03-09T21:24:53Z</dcterms:created>
  <dcterms:modified xsi:type="dcterms:W3CDTF">2017-02-28T21:21:23Z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0x01010070FC9A67B0B0144CB3E6658DBAAE5B760A0100986FB12E3EC0C04BBB106AB61D0355D6</vt:lpwstr>
  </property>
</Properties>
</file>