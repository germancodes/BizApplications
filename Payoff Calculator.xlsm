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90" windowWidth="28755" windowHeight="12585" firstSheet="2" activeTab="2"/>
  </bookViews>
  <sheets>
    <sheet name="Helpful Information" sheetId="2" state="veryHidden" r:id="rId1"/>
    <sheet name="Payoff" sheetId="1" state="veryHidden" r:id="rId2"/>
    <sheet name="Error" sheetId="3" r:id="rId3"/>
  </sheets>
  <externalReferences>
    <externalReference r:id="rId4"/>
  </externalReferences>
  <definedNames>
    <definedName name="_MailAutoSig" localSheetId="0">'Helpful Information'!$B$2</definedName>
    <definedName name="GeneratedComments">'[1]Cadence Export'!#REF!</definedName>
    <definedName name="LoanPurposeX">#REF!</definedName>
    <definedName name="LoanTypeX">#REF!</definedName>
    <definedName name="PDFRng" localSheetId="2">#REF!</definedName>
    <definedName name="PDFRng">#REF!</definedName>
    <definedName name="ReviewTypeX">#REF!</definedName>
  </definedNames>
  <calcPr calcId="125725"/>
  <smartTagPr show="none"/>
</workbook>
</file>

<file path=xl/calcChain.xml><?xml version="1.0" encoding="utf-8"?>
<calcChain xmlns="http://schemas.openxmlformats.org/spreadsheetml/2006/main">
  <c r="E19" i="1"/>
  <c r="B38"/>
  <c r="C38" s="1"/>
  <c r="B27" s="1"/>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AH1434"/>
  <c r="AH1435"/>
  <c r="AH1436"/>
  <c r="AH1437"/>
  <c r="AH1438"/>
  <c r="AH1439"/>
  <c r="AH1440"/>
  <c r="AH1441"/>
  <c r="AH1442"/>
  <c r="AH1443"/>
  <c r="AH1444"/>
  <c r="AH1445"/>
  <c r="AH1446"/>
  <c r="AH1447"/>
  <c r="AH1448"/>
  <c r="AH1449"/>
  <c r="AH1450"/>
  <c r="AH1451"/>
  <c r="AH1452"/>
  <c r="AH1453"/>
  <c r="AH1454"/>
  <c r="AH1455"/>
  <c r="AH1456"/>
  <c r="AH1457"/>
  <c r="AH1458"/>
  <c r="AH1459"/>
  <c r="AH1460"/>
  <c r="AH1461"/>
  <c r="AH1462"/>
  <c r="AH1463"/>
  <c r="AH1464"/>
  <c r="AH1465"/>
  <c r="AH1466"/>
  <c r="AH1467"/>
  <c r="AH1468"/>
  <c r="AH1469"/>
  <c r="AH1470"/>
  <c r="AH1471"/>
  <c r="AH1472"/>
  <c r="AH1473"/>
  <c r="AH1474"/>
  <c r="AH1475"/>
  <c r="AH1476"/>
  <c r="AH1477"/>
  <c r="AH1478"/>
  <c r="AH1479"/>
  <c r="AH1480"/>
  <c r="AH1481"/>
  <c r="AH1482"/>
  <c r="AH1483"/>
  <c r="AH1484"/>
  <c r="AH1485"/>
  <c r="AH1486"/>
  <c r="AH1487"/>
  <c r="AH1488"/>
  <c r="AH1489"/>
  <c r="AH1490"/>
  <c r="AH1491"/>
  <c r="AH1492"/>
  <c r="AH1493"/>
  <c r="AH1494"/>
  <c r="AH1495"/>
  <c r="AH1496"/>
  <c r="AH1497"/>
  <c r="AH1498"/>
  <c r="AH1499"/>
  <c r="AH1500"/>
  <c r="AH1501"/>
  <c r="AH1502"/>
  <c r="AH1503"/>
  <c r="AH1504"/>
  <c r="AH1505"/>
  <c r="AH1506"/>
  <c r="AH1507"/>
  <c r="AH1508"/>
  <c r="AH1509"/>
  <c r="AH1510"/>
  <c r="AH1511"/>
  <c r="AH1512"/>
  <c r="AH1513"/>
  <c r="AH1514"/>
  <c r="AH1515"/>
  <c r="AH1516"/>
  <c r="AH1517"/>
  <c r="AH1518"/>
  <c r="AH1519"/>
  <c r="AH1520"/>
  <c r="AH1521"/>
  <c r="AH1522"/>
  <c r="AH1523"/>
  <c r="AH1524"/>
  <c r="AH1525"/>
  <c r="AH1526"/>
  <c r="AH1527"/>
  <c r="AH1528"/>
  <c r="AH1529"/>
  <c r="AH1530"/>
  <c r="AH1531"/>
  <c r="AH1532"/>
  <c r="AH1533"/>
  <c r="AH1534"/>
  <c r="AH1535"/>
  <c r="AH1536"/>
  <c r="AH1537"/>
  <c r="AH1538"/>
  <c r="AH1539"/>
  <c r="AH1540"/>
  <c r="AH1541"/>
  <c r="AH1542"/>
  <c r="AH1543"/>
  <c r="AH1544"/>
  <c r="AH1545"/>
  <c r="AH1546"/>
  <c r="AH1547"/>
  <c r="AH1548"/>
  <c r="AH1549"/>
  <c r="AH1550"/>
  <c r="AH1551"/>
  <c r="AH1552"/>
  <c r="AH1553"/>
  <c r="AH1554"/>
  <c r="AH1555"/>
  <c r="AH1556"/>
  <c r="AH1557"/>
  <c r="AH1558"/>
  <c r="AH1559"/>
  <c r="AH1560"/>
  <c r="AH1561"/>
  <c r="AH1562"/>
  <c r="AH1563"/>
  <c r="AH1564"/>
  <c r="AH1565"/>
  <c r="AH1566"/>
  <c r="AH1567"/>
  <c r="AH1568"/>
  <c r="AH1569"/>
  <c r="AH1570"/>
  <c r="AH1571"/>
  <c r="AH1572"/>
  <c r="AH1573"/>
  <c r="AH1574"/>
  <c r="AH1575"/>
  <c r="AH1576"/>
  <c r="AH1577"/>
  <c r="AH1578"/>
  <c r="AH1579"/>
  <c r="AH1580"/>
  <c r="AH1581"/>
  <c r="AH1582"/>
  <c r="AH1583"/>
  <c r="AH1584"/>
  <c r="AH1585"/>
  <c r="AH1586"/>
  <c r="AH1587"/>
  <c r="AH1588"/>
  <c r="AH1589"/>
  <c r="AH1590"/>
  <c r="AH1591"/>
  <c r="AH1592"/>
  <c r="AH1593"/>
  <c r="AH1594"/>
  <c r="AH1595"/>
  <c r="AH1596"/>
  <c r="AH1597"/>
  <c r="AH1598"/>
  <c r="AH1599"/>
  <c r="AH1600"/>
  <c r="AH1601"/>
  <c r="AH1602"/>
  <c r="AH1603"/>
  <c r="AH1604"/>
  <c r="AH1605"/>
  <c r="AH1606"/>
  <c r="AH1607"/>
  <c r="AH1608"/>
  <c r="AH1609"/>
  <c r="AH1610"/>
  <c r="AH1611"/>
  <c r="AH1612"/>
  <c r="AH1613"/>
  <c r="AH1614"/>
  <c r="AH1615"/>
  <c r="AH1616"/>
  <c r="AH1617"/>
  <c r="AH1618"/>
  <c r="AH1619"/>
  <c r="AH1620"/>
  <c r="AH1621"/>
  <c r="AH1622"/>
  <c r="AH1623"/>
  <c r="AH1624"/>
  <c r="AH1625"/>
  <c r="AH1626"/>
  <c r="AH1627"/>
  <c r="AH1628"/>
  <c r="AH1629"/>
  <c r="AH1630"/>
  <c r="AH1631"/>
  <c r="AH1632"/>
  <c r="AH1633"/>
  <c r="AH1634"/>
  <c r="AH1635"/>
  <c r="AH1636"/>
  <c r="AH1637"/>
  <c r="AH1638"/>
  <c r="AH1639"/>
  <c r="AH1640"/>
  <c r="AH1641"/>
  <c r="AH1642"/>
  <c r="AH1643"/>
  <c r="AH1644"/>
  <c r="AH1645"/>
  <c r="AH1646"/>
  <c r="AH1647"/>
  <c r="AH1648"/>
  <c r="AH1649"/>
  <c r="AH1650"/>
  <c r="AH1651"/>
  <c r="AH1652"/>
  <c r="AH1653"/>
  <c r="AH1654"/>
  <c r="AH1655"/>
  <c r="AH1656"/>
  <c r="AH1657"/>
  <c r="AH1658"/>
  <c r="AH1659"/>
  <c r="AH1660"/>
  <c r="AH1661"/>
  <c r="AH1662"/>
  <c r="AH1663"/>
  <c r="AH1664"/>
  <c r="AH1665"/>
  <c r="AH1666"/>
  <c r="AH1667"/>
  <c r="AH1668"/>
  <c r="AH1669"/>
  <c r="AH1670"/>
  <c r="AH1671"/>
  <c r="AH1672"/>
  <c r="AH1673"/>
  <c r="AH1674"/>
  <c r="AH1675"/>
  <c r="AH1676"/>
  <c r="AH1677"/>
  <c r="AH1678"/>
  <c r="AH1679"/>
  <c r="AH1680"/>
  <c r="AH1681"/>
  <c r="AH1682"/>
  <c r="AH1683"/>
  <c r="AH1684"/>
  <c r="AH1685"/>
  <c r="AH1686"/>
  <c r="AH1687"/>
  <c r="AH1688"/>
  <c r="AH1689"/>
  <c r="AH1690"/>
  <c r="AH1691"/>
  <c r="AH1692"/>
  <c r="AH1693"/>
  <c r="AH1694"/>
  <c r="AH1695"/>
  <c r="AH1696"/>
  <c r="AH1697"/>
  <c r="AH1698"/>
  <c r="AH1699"/>
  <c r="AH1700"/>
  <c r="AH1701"/>
  <c r="AH1702"/>
  <c r="AH1703"/>
  <c r="AH1704"/>
  <c r="AH1705"/>
  <c r="AH1706"/>
  <c r="AH1707"/>
  <c r="AH1708"/>
  <c r="AH1709"/>
  <c r="AH1710"/>
  <c r="AH1711"/>
  <c r="AH1712"/>
  <c r="AH1713"/>
  <c r="AH1714"/>
  <c r="AH1715"/>
  <c r="AH1716"/>
  <c r="AH1717"/>
  <c r="AH1718"/>
  <c r="AH1719"/>
  <c r="AH1720"/>
  <c r="AH1721"/>
  <c r="AH1722"/>
  <c r="AH1723"/>
  <c r="AH1724"/>
  <c r="AH1725"/>
  <c r="AH1726"/>
  <c r="AH1727"/>
  <c r="AH1728"/>
  <c r="AH1729"/>
  <c r="AH1730"/>
  <c r="AH1731"/>
  <c r="AH1732"/>
  <c r="AH1733"/>
  <c r="AH1734"/>
  <c r="AH1735"/>
  <c r="AH1736"/>
  <c r="AH1737"/>
  <c r="AH1738"/>
  <c r="AH1739"/>
  <c r="AH1740"/>
  <c r="AH1741"/>
  <c r="AH1742"/>
  <c r="AH1743"/>
  <c r="AH1744"/>
  <c r="AH1745"/>
  <c r="AH1746"/>
  <c r="AH1747"/>
  <c r="AH1748"/>
  <c r="AH1749"/>
  <c r="AH1750"/>
  <c r="AH1751"/>
  <c r="AH1752"/>
  <c r="AH1753"/>
  <c r="AH1754"/>
  <c r="AH1755"/>
  <c r="AH1756"/>
  <c r="AH1757"/>
  <c r="AH1758"/>
  <c r="AH1759"/>
  <c r="AH1760"/>
  <c r="AH1761"/>
  <c r="AH1762"/>
  <c r="AH1763"/>
  <c r="AH1764"/>
  <c r="AH1765"/>
  <c r="AH1766"/>
  <c r="AH1767"/>
  <c r="AH1768"/>
  <c r="AH1769"/>
  <c r="AH1770"/>
  <c r="AH1771"/>
  <c r="AH1772"/>
  <c r="AH1773"/>
  <c r="AH1774"/>
  <c r="AH1775"/>
  <c r="AH1776"/>
  <c r="AH1777"/>
  <c r="AH1778"/>
  <c r="AH1779"/>
  <c r="AH1780"/>
  <c r="AH1781"/>
  <c r="AH1782"/>
  <c r="AH1783"/>
  <c r="AH1784"/>
  <c r="AH1785"/>
  <c r="AH1786"/>
  <c r="AH1787"/>
  <c r="AH1788"/>
  <c r="AH1789"/>
  <c r="AH1790"/>
  <c r="AH1791"/>
  <c r="AH1792"/>
  <c r="AH1793"/>
  <c r="AH1794"/>
  <c r="AH1795"/>
  <c r="AH1796"/>
  <c r="AH1797"/>
  <c r="AH1798"/>
  <c r="AH1799"/>
  <c r="AH1800"/>
  <c r="AH1801"/>
  <c r="AH1802"/>
  <c r="AH1803"/>
  <c r="AH1804"/>
  <c r="AH1805"/>
  <c r="AH1806"/>
  <c r="AH1807"/>
  <c r="AH1808"/>
  <c r="AH1809"/>
  <c r="AH1810"/>
  <c r="AH1811"/>
  <c r="AH1812"/>
  <c r="AH1813"/>
  <c r="AH1814"/>
  <c r="AH1815"/>
  <c r="AH1816"/>
  <c r="AH1817"/>
  <c r="AH1818"/>
  <c r="AH1819"/>
  <c r="AH1820"/>
  <c r="AH1821"/>
  <c r="AH1822"/>
  <c r="AH1823"/>
  <c r="AH1824"/>
  <c r="AH1825"/>
  <c r="AH1826"/>
  <c r="AH1827"/>
  <c r="AH1828"/>
  <c r="AH1829"/>
  <c r="AH4"/>
  <c r="E20"/>
  <c r="P29"/>
  <c r="B23"/>
  <c r="E22" s="1"/>
  <c r="P32"/>
  <c r="B35"/>
  <c r="B33"/>
  <c r="B28" l="1"/>
  <c r="B21"/>
  <c r="B37" s="1"/>
  <c r="B22" l="1"/>
  <c r="B24"/>
  <c r="A27"/>
  <c r="AG1414"/>
  <c r="AG1062"/>
  <c r="AB53"/>
  <c r="AB52"/>
  <c r="AB51"/>
  <c r="AB50"/>
  <c r="AB49"/>
  <c r="AB48"/>
  <c r="AB47"/>
  <c r="AB46"/>
  <c r="AB45"/>
  <c r="AB44"/>
  <c r="AB43"/>
  <c r="AB42"/>
  <c r="AB41"/>
  <c r="AB40"/>
  <c r="AB39"/>
  <c r="AB38"/>
  <c r="AB37"/>
  <c r="AB36"/>
  <c r="AB35"/>
  <c r="AB34"/>
  <c r="AB33"/>
  <c r="AB32"/>
  <c r="AB31"/>
  <c r="AB30"/>
  <c r="AB29"/>
  <c r="AB28"/>
  <c r="AB27"/>
  <c r="AB26"/>
  <c r="AB25"/>
  <c r="AB24"/>
  <c r="AG735"/>
  <c r="AG736"/>
  <c r="AG737"/>
  <c r="AG738"/>
  <c r="AG739"/>
  <c r="AG740"/>
  <c r="AG741"/>
  <c r="AG742"/>
  <c r="AG743"/>
  <c r="AG744"/>
  <c r="AG751"/>
  <c r="AG752"/>
  <c r="AG753"/>
  <c r="AG754"/>
  <c r="AG755"/>
  <c r="AG756"/>
  <c r="AG757"/>
  <c r="AG758"/>
  <c r="AG759"/>
  <c r="AG760"/>
  <c r="AG761"/>
  <c r="AG762"/>
  <c r="AG763"/>
  <c r="AG764"/>
  <c r="AG765"/>
  <c r="AG766"/>
  <c r="AG767"/>
  <c r="AG768"/>
  <c r="AG769"/>
  <c r="AG770"/>
  <c r="AG771"/>
  <c r="AG772"/>
  <c r="AG779"/>
  <c r="AG780"/>
  <c r="AG781"/>
  <c r="AG782"/>
  <c r="AG783"/>
  <c r="AG784"/>
  <c r="AG785"/>
  <c r="AG786"/>
  <c r="AG787"/>
  <c r="AG788"/>
  <c r="AG789"/>
  <c r="AG790"/>
  <c r="AG791"/>
  <c r="AG792"/>
  <c r="AG793"/>
  <c r="AG794"/>
  <c r="AG795"/>
  <c r="AG796"/>
  <c r="AG797"/>
  <c r="AG798"/>
  <c r="AG799"/>
  <c r="AG800"/>
  <c r="AG801"/>
  <c r="AG802"/>
  <c r="AG803"/>
  <c r="AG804"/>
  <c r="AG805"/>
  <c r="AG806"/>
  <c r="AG807"/>
  <c r="AG808"/>
  <c r="AG809"/>
  <c r="AG810"/>
  <c r="AG811"/>
  <c r="AG812"/>
  <c r="AG813"/>
  <c r="AG814"/>
  <c r="AG815"/>
  <c r="AG816"/>
  <c r="AG817"/>
  <c r="AG818"/>
  <c r="AG819"/>
  <c r="AG820"/>
  <c r="AG821"/>
  <c r="AG822"/>
  <c r="AG823"/>
  <c r="AG824"/>
  <c r="AG825"/>
  <c r="AG826"/>
  <c r="AG827"/>
  <c r="AG828"/>
  <c r="AG829"/>
  <c r="AG830"/>
  <c r="AG831"/>
  <c r="AG832"/>
  <c r="AG833"/>
  <c r="AG834"/>
  <c r="AG835"/>
  <c r="AG836"/>
  <c r="AG837"/>
  <c r="AG838"/>
  <c r="AG839"/>
  <c r="AG840"/>
  <c r="AG841"/>
  <c r="AG842"/>
  <c r="AG843"/>
  <c r="AG844"/>
  <c r="AG845"/>
  <c r="AG846"/>
  <c r="AG847"/>
  <c r="AG848"/>
  <c r="AG849"/>
  <c r="AG850"/>
  <c r="AG851"/>
  <c r="AG852"/>
  <c r="AG853"/>
  <c r="AG854"/>
  <c r="AG855"/>
  <c r="AG856"/>
  <c r="AG857"/>
  <c r="AG858"/>
  <c r="AG859"/>
  <c r="AG860"/>
  <c r="AG861"/>
  <c r="AG862"/>
  <c r="AG863"/>
  <c r="AG864"/>
  <c r="AG865"/>
  <c r="AG866"/>
  <c r="AG867"/>
  <c r="AG868"/>
  <c r="AG869"/>
  <c r="AG870"/>
  <c r="AG871"/>
  <c r="AG872"/>
  <c r="AG873"/>
  <c r="AG874"/>
  <c r="AG875"/>
  <c r="AG876"/>
  <c r="AG877"/>
  <c r="AG884"/>
  <c r="AG885"/>
  <c r="AG886"/>
  <c r="AG887"/>
  <c r="AG888"/>
  <c r="AG889"/>
  <c r="AG890"/>
  <c r="AG891"/>
  <c r="AG892"/>
  <c r="AG893"/>
  <c r="AG894"/>
  <c r="AG895"/>
  <c r="AG896"/>
  <c r="AG897"/>
  <c r="AG898"/>
  <c r="AG899"/>
  <c r="AG900"/>
  <c r="AG901"/>
  <c r="AG902"/>
  <c r="AG903"/>
  <c r="AG904"/>
  <c r="AG905"/>
  <c r="AG906"/>
  <c r="AG907"/>
  <c r="AG908"/>
  <c r="AG909"/>
  <c r="AG910"/>
  <c r="AG911"/>
  <c r="AG912"/>
  <c r="AG919"/>
  <c r="AG920"/>
  <c r="AG921"/>
  <c r="AG922"/>
  <c r="AG923"/>
  <c r="AG924"/>
  <c r="AG925"/>
  <c r="AG926"/>
  <c r="AG927"/>
  <c r="AG928"/>
  <c r="AG929"/>
  <c r="AG930"/>
  <c r="AG931"/>
  <c r="AG932"/>
  <c r="AG933"/>
  <c r="AG934"/>
  <c r="AG935"/>
  <c r="AG936"/>
  <c r="AG937"/>
  <c r="AG938"/>
  <c r="AG939"/>
  <c r="AG940"/>
  <c r="AG941"/>
  <c r="AG942"/>
  <c r="AG943"/>
  <c r="AG944"/>
  <c r="AG945"/>
  <c r="AG946"/>
  <c r="AG947"/>
  <c r="AG948"/>
  <c r="AG949"/>
  <c r="AG950"/>
  <c r="AG951"/>
  <c r="AG952"/>
  <c r="AG953"/>
  <c r="AG954"/>
  <c r="AG955"/>
  <c r="AG956"/>
  <c r="AG957"/>
  <c r="AG958"/>
  <c r="AG959"/>
  <c r="AG960"/>
  <c r="AG961"/>
  <c r="AG962"/>
  <c r="AG963"/>
  <c r="AG964"/>
  <c r="AG965"/>
  <c r="AG966"/>
  <c r="AG967"/>
  <c r="AG968"/>
  <c r="AG969"/>
  <c r="AG970"/>
  <c r="AG971"/>
  <c r="AG972"/>
  <c r="AG973"/>
  <c r="AG974"/>
  <c r="AG975"/>
  <c r="AG982"/>
  <c r="AG983"/>
  <c r="AG984"/>
  <c r="AG985"/>
  <c r="AG986"/>
  <c r="AG987"/>
  <c r="AG988"/>
  <c r="AG989"/>
  <c r="AG990"/>
  <c r="AG991"/>
  <c r="AG992"/>
  <c r="AG993"/>
  <c r="AG994"/>
  <c r="AG995"/>
  <c r="AG996"/>
  <c r="AG997"/>
  <c r="AG998"/>
  <c r="AG999"/>
  <c r="AG1000"/>
  <c r="AG1001"/>
  <c r="AG1002"/>
  <c r="AG1003"/>
  <c r="AG1004"/>
  <c r="AG1005"/>
  <c r="AG1006"/>
  <c r="AG1007"/>
  <c r="AG1008"/>
  <c r="AG1009"/>
  <c r="AG1010"/>
  <c r="AG1017"/>
  <c r="AG1018"/>
  <c r="AG1019"/>
  <c r="AG1020"/>
  <c r="AG1021"/>
  <c r="AG1022"/>
  <c r="AG1023"/>
  <c r="AG1024"/>
  <c r="AG1025"/>
  <c r="AG1026"/>
  <c r="AG1027"/>
  <c r="AG1028"/>
  <c r="AG1029"/>
  <c r="AG1030"/>
  <c r="AG1031"/>
  <c r="AG1032"/>
  <c r="AG1033"/>
  <c r="AG1034"/>
  <c r="AG1035"/>
  <c r="AG1036"/>
  <c r="AG1037"/>
  <c r="AG1038"/>
  <c r="AG1039"/>
  <c r="AG1040"/>
  <c r="AG1041"/>
  <c r="AG1042"/>
  <c r="AG1043"/>
  <c r="AG1044"/>
  <c r="AG1046"/>
  <c r="AG1049"/>
  <c r="AG1050"/>
  <c r="AG1051"/>
  <c r="AG1052"/>
  <c r="AG1053"/>
  <c r="AG1054"/>
  <c r="AG1055"/>
  <c r="AG1056"/>
  <c r="AG1060"/>
  <c r="AG1063"/>
  <c r="AG1064"/>
  <c r="AG1065"/>
  <c r="AG1066"/>
  <c r="AG1067"/>
  <c r="AG1068"/>
  <c r="AG1069"/>
  <c r="AG1070"/>
  <c r="AG1071"/>
  <c r="AG1072"/>
  <c r="AG1073"/>
  <c r="AG1074"/>
  <c r="AG1075"/>
  <c r="AG1076"/>
  <c r="AG1077"/>
  <c r="AG1078"/>
  <c r="AG1079"/>
  <c r="AG1080"/>
  <c r="AG1081"/>
  <c r="AG1082"/>
  <c r="AG1083"/>
  <c r="AG1084"/>
  <c r="AG1085"/>
  <c r="AG1086"/>
  <c r="AG1087"/>
  <c r="AG1094"/>
  <c r="AG1101"/>
  <c r="AG1102"/>
  <c r="AG1103"/>
  <c r="AG1104"/>
  <c r="AG1105"/>
  <c r="AG1106"/>
  <c r="AG1107"/>
  <c r="AG1108"/>
  <c r="AG1115"/>
  <c r="AG1116"/>
  <c r="AG1117"/>
  <c r="AG1118"/>
  <c r="AG1119"/>
  <c r="AG1120"/>
  <c r="AG1121"/>
  <c r="AG1122"/>
  <c r="AG1123"/>
  <c r="AG1124"/>
  <c r="AG1125"/>
  <c r="AG1126"/>
  <c r="AG1127"/>
  <c r="AG1128"/>
  <c r="AG1129"/>
  <c r="AG1130"/>
  <c r="AG1131"/>
  <c r="AG1132"/>
  <c r="AG1133"/>
  <c r="AG1134"/>
  <c r="AG1135"/>
  <c r="AG1136"/>
  <c r="AG1137"/>
  <c r="AG1138"/>
  <c r="AG1139"/>
  <c r="AG1140"/>
  <c r="AG1141"/>
  <c r="AG1142"/>
  <c r="AG1143"/>
  <c r="AG1145"/>
  <c r="AG1150"/>
  <c r="AG1151"/>
  <c r="AG1152"/>
  <c r="AG1153"/>
  <c r="AG1154"/>
  <c r="AG1155"/>
  <c r="AG1156"/>
  <c r="AG1157"/>
  <c r="AG1158"/>
  <c r="AG1159"/>
  <c r="AG1160"/>
  <c r="AG1161"/>
  <c r="AG1162"/>
  <c r="AG1163"/>
  <c r="AG1164"/>
  <c r="AG1165"/>
  <c r="AG1166"/>
  <c r="AG1167"/>
  <c r="AG1168"/>
  <c r="AG1169"/>
  <c r="AG1170"/>
  <c r="AG1171"/>
  <c r="AG1172"/>
  <c r="AG1173"/>
  <c r="AG1174"/>
  <c r="AG1175"/>
  <c r="AG1176"/>
  <c r="AG1177"/>
  <c r="AG1178"/>
  <c r="AG1179"/>
  <c r="AG1180"/>
  <c r="AG1181"/>
  <c r="AG1182"/>
  <c r="AG1183"/>
  <c r="AG1184"/>
  <c r="AG1185"/>
  <c r="AG1186"/>
  <c r="AG1187"/>
  <c r="AG1188"/>
  <c r="AG1189"/>
  <c r="AG1190"/>
  <c r="AG1191"/>
  <c r="AG1192"/>
  <c r="AG1193"/>
  <c r="AG1194"/>
  <c r="AG1195"/>
  <c r="AG1196"/>
  <c r="AG1197"/>
  <c r="AG1198"/>
  <c r="AG1199"/>
  <c r="AG1200"/>
  <c r="AG1201"/>
  <c r="AG1202"/>
  <c r="AG1203"/>
  <c r="AG1204"/>
  <c r="AG1205"/>
  <c r="AG1206"/>
  <c r="AG1207"/>
  <c r="AG1208"/>
  <c r="AG1209"/>
  <c r="AG1210"/>
  <c r="AG1211"/>
  <c r="AG1212"/>
  <c r="AG1213"/>
  <c r="AG1214"/>
  <c r="AG1215"/>
  <c r="AG1216"/>
  <c r="AG1217"/>
  <c r="AG1218"/>
  <c r="AG1219"/>
  <c r="AG1220"/>
  <c r="AG1221"/>
  <c r="AG1222"/>
  <c r="AG1223"/>
  <c r="AG1224"/>
  <c r="AG1225"/>
  <c r="AG1226"/>
  <c r="AG1227"/>
  <c r="AG1228"/>
  <c r="AG1229"/>
  <c r="AG1230"/>
  <c r="AG1231"/>
  <c r="AG1232"/>
  <c r="AG1233"/>
  <c r="AG1234"/>
  <c r="AG1235"/>
  <c r="AG1236"/>
  <c r="AG1237"/>
  <c r="AG1238"/>
  <c r="AG1239"/>
  <c r="AG1240"/>
  <c r="AG1241"/>
  <c r="AG1248"/>
  <c r="AG1249"/>
  <c r="AG1250"/>
  <c r="AG1251"/>
  <c r="AG1252"/>
  <c r="AG1253"/>
  <c r="AG1254"/>
  <c r="AG1255"/>
  <c r="AG1256"/>
  <c r="AG1257"/>
  <c r="AG1258"/>
  <c r="AG1259"/>
  <c r="AG1260"/>
  <c r="AG1261"/>
  <c r="AG1262"/>
  <c r="AG1263"/>
  <c r="AG1264"/>
  <c r="AG1265"/>
  <c r="AG1266"/>
  <c r="AG1267"/>
  <c r="AG1268"/>
  <c r="AG1269"/>
  <c r="AG1270"/>
  <c r="AG1271"/>
  <c r="AG1272"/>
  <c r="AG1273"/>
  <c r="AG1274"/>
  <c r="AG1275"/>
  <c r="AG1276"/>
  <c r="AG1277"/>
  <c r="AG1278"/>
  <c r="AG1284"/>
  <c r="AG1285"/>
  <c r="AG1286"/>
  <c r="AG1287"/>
  <c r="AG1288"/>
  <c r="AG1289"/>
  <c r="AG1290"/>
  <c r="AG1291"/>
  <c r="AG1292"/>
  <c r="AG1293"/>
  <c r="AG1294"/>
  <c r="AG1295"/>
  <c r="AG1296"/>
  <c r="AG1297"/>
  <c r="AG1298"/>
  <c r="AG1299"/>
  <c r="AG1300"/>
  <c r="AG1301"/>
  <c r="AG1302"/>
  <c r="AG1303"/>
  <c r="AG1304"/>
  <c r="AG1305"/>
  <c r="AG1306"/>
  <c r="AG1307"/>
  <c r="AG1308"/>
  <c r="AG1309"/>
  <c r="AG1310"/>
  <c r="AG1311"/>
  <c r="AG1312"/>
  <c r="AG1313"/>
  <c r="AG1314"/>
  <c r="AG1315"/>
  <c r="AG1316"/>
  <c r="AG1317"/>
  <c r="AG1318"/>
  <c r="AG1319"/>
  <c r="AG1320"/>
  <c r="AG1321"/>
  <c r="AG1322"/>
  <c r="AG1323"/>
  <c r="AG1324"/>
  <c r="AG1325"/>
  <c r="AG1326"/>
  <c r="AG1327"/>
  <c r="AG1328"/>
  <c r="AG1329"/>
  <c r="AG1330"/>
  <c r="AG1331"/>
  <c r="AG1332"/>
  <c r="AG1333"/>
  <c r="AG1334"/>
  <c r="AG1335"/>
  <c r="AG1336"/>
  <c r="AG1337"/>
  <c r="AG1338"/>
  <c r="AG1339"/>
  <c r="AG1347"/>
  <c r="AG1348"/>
  <c r="AG1349"/>
  <c r="AG1350"/>
  <c r="AG1351"/>
  <c r="AG1352"/>
  <c r="AG1353"/>
  <c r="AG1354"/>
  <c r="AG1355"/>
  <c r="AG1356"/>
  <c r="AG1357"/>
  <c r="AG1358"/>
  <c r="AG1359"/>
  <c r="AG1360"/>
  <c r="AG1361"/>
  <c r="AG1362"/>
  <c r="AG1363"/>
  <c r="AG1364"/>
  <c r="AG1365"/>
  <c r="AG1366"/>
  <c r="AG1367"/>
  <c r="AG1368"/>
  <c r="AG1369"/>
  <c r="AG1370"/>
  <c r="AG1371"/>
  <c r="AG1372"/>
  <c r="AG1373"/>
  <c r="AG1374"/>
  <c r="AG1381"/>
  <c r="AG1382"/>
  <c r="AG1383"/>
  <c r="AG1384"/>
  <c r="AG1385"/>
  <c r="AG1386"/>
  <c r="AG1387"/>
  <c r="AG1388"/>
  <c r="AG1389"/>
  <c r="AG1390"/>
  <c r="AG1391"/>
  <c r="AG1392"/>
  <c r="AG1393"/>
  <c r="AG1394"/>
  <c r="AG1395"/>
  <c r="AG1396"/>
  <c r="AG1397"/>
  <c r="AG1398"/>
  <c r="AG1399"/>
  <c r="AG1400"/>
  <c r="AG1401"/>
  <c r="AG1402"/>
  <c r="AG1403"/>
  <c r="AG1404"/>
  <c r="AG1405"/>
  <c r="AG1406"/>
  <c r="AG1407"/>
  <c r="AG1408"/>
  <c r="AG1409"/>
  <c r="AG1410"/>
  <c r="AG1411"/>
  <c r="AG1412"/>
  <c r="AG1413"/>
  <c r="AG1415"/>
  <c r="AG1416"/>
  <c r="AG1417"/>
  <c r="AG1418"/>
  <c r="AG1419"/>
  <c r="AG1420"/>
  <c r="AG1424"/>
  <c r="AG1426"/>
  <c r="AG1427"/>
  <c r="AG1428"/>
  <c r="AG1429"/>
  <c r="AG1430"/>
  <c r="AG1431"/>
  <c r="AG1432"/>
  <c r="AG1433"/>
  <c r="AG1434"/>
  <c r="AG1435"/>
  <c r="AG1436"/>
  <c r="AG1437"/>
  <c r="AG1438"/>
  <c r="AG1439"/>
  <c r="AG1440"/>
  <c r="AG1441"/>
  <c r="AG1442"/>
  <c r="AG1443"/>
  <c r="AG1444"/>
  <c r="AG1445"/>
  <c r="AG1446"/>
  <c r="AG1447"/>
  <c r="AG1448"/>
  <c r="AG1449"/>
  <c r="AG1450"/>
  <c r="AG1451"/>
  <c r="AG1452"/>
  <c r="AG1454"/>
  <c r="AG1455"/>
  <c r="AG1458"/>
  <c r="AG1459"/>
  <c r="AG1461"/>
  <c r="AG1462"/>
  <c r="AG1463"/>
  <c r="AG1466"/>
  <c r="AG1467"/>
  <c r="AG1468"/>
  <c r="AG1469"/>
  <c r="AG1470"/>
  <c r="AG1471"/>
  <c r="AG1472"/>
  <c r="AG1474"/>
  <c r="AG1475"/>
  <c r="AG1476"/>
  <c r="AG1479"/>
  <c r="AG1480"/>
  <c r="AG1481"/>
  <c r="AG1482"/>
  <c r="AG1483"/>
  <c r="AG1484"/>
  <c r="AG1485"/>
  <c r="AG1486"/>
  <c r="AG1487"/>
  <c r="AG1488"/>
  <c r="AG1489"/>
  <c r="AG1490"/>
  <c r="AG1491"/>
  <c r="AG1492"/>
  <c r="AG1493"/>
  <c r="AG1494"/>
  <c r="AG1495"/>
  <c r="AG1496"/>
  <c r="AG1497"/>
  <c r="AG1498"/>
  <c r="AG1499"/>
  <c r="AG1500"/>
  <c r="AG1501"/>
  <c r="AG1502"/>
  <c r="AG1503"/>
  <c r="AG1504"/>
  <c r="AG1505"/>
  <c r="AG1506"/>
  <c r="AG1507"/>
  <c r="AG1508"/>
  <c r="AG1509"/>
  <c r="AG1510"/>
  <c r="AG1511"/>
  <c r="AG1512"/>
  <c r="AG1513"/>
  <c r="AG1514"/>
  <c r="AG1515"/>
  <c r="AG1516"/>
  <c r="AG1517"/>
  <c r="AG1518"/>
  <c r="AG1519"/>
  <c r="AG1520"/>
  <c r="AG1521"/>
  <c r="AG1522"/>
  <c r="AG1523"/>
  <c r="AG1524"/>
  <c r="AG1525"/>
  <c r="AG1526"/>
  <c r="AG1527"/>
  <c r="AG1528"/>
  <c r="AG1529"/>
  <c r="AG1530"/>
  <c r="AG1531"/>
  <c r="AG1532"/>
  <c r="AG1533"/>
  <c r="AG1534"/>
  <c r="AG1535"/>
  <c r="AG1536"/>
  <c r="AG1537"/>
  <c r="AG1538"/>
  <c r="AG1539"/>
  <c r="AG1540"/>
  <c r="AG1541"/>
  <c r="AG1542"/>
  <c r="AG1543"/>
  <c r="AG1544"/>
  <c r="AG1545"/>
  <c r="AG1546"/>
  <c r="AG1547"/>
  <c r="AG1548"/>
  <c r="AG1549"/>
  <c r="AG1550"/>
  <c r="AG1551"/>
  <c r="AG1552"/>
  <c r="AG1553"/>
  <c r="AG1554"/>
  <c r="AG1555"/>
  <c r="AG1556"/>
  <c r="AG1557"/>
  <c r="AG1558"/>
  <c r="AG1559"/>
  <c r="AG1560"/>
  <c r="AG1561"/>
  <c r="AG1562"/>
  <c r="AG1563"/>
  <c r="AG1564"/>
  <c r="AG1565"/>
  <c r="AG1566"/>
  <c r="AG1567"/>
  <c r="AG1568"/>
  <c r="AG1569"/>
  <c r="AG1570"/>
  <c r="AG1571"/>
  <c r="AG1572"/>
  <c r="AG1573"/>
  <c r="AG1574"/>
  <c r="AG1575"/>
  <c r="AG1576"/>
  <c r="AG1577"/>
  <c r="AG1578"/>
  <c r="AG1579"/>
  <c r="AG1580"/>
  <c r="AG1581"/>
  <c r="AG1582"/>
  <c r="AG1583"/>
  <c r="AG1584"/>
  <c r="AG1585"/>
  <c r="AG1586"/>
  <c r="AG1587"/>
  <c r="AG1588"/>
  <c r="AG1589"/>
  <c r="AG1590"/>
  <c r="AG1591"/>
  <c r="AG1592"/>
  <c r="AG1593"/>
  <c r="AG1594"/>
  <c r="AG1595"/>
  <c r="AG1596"/>
  <c r="AG1597"/>
  <c r="AG1598"/>
  <c r="AG1599"/>
  <c r="AG1600"/>
  <c r="AG1601"/>
  <c r="AG1602"/>
  <c r="AG1603"/>
  <c r="AG1604"/>
  <c r="AG1605"/>
  <c r="AG1606"/>
  <c r="AG1609"/>
  <c r="AG1610"/>
  <c r="AG1613"/>
  <c r="AG1614"/>
  <c r="AG1615"/>
  <c r="AG1616"/>
  <c r="AG1617"/>
  <c r="AG1618"/>
  <c r="AG1619"/>
  <c r="AG1620"/>
  <c r="AG1621"/>
  <c r="AG1622"/>
  <c r="AG1623"/>
  <c r="AG1624"/>
  <c r="AG1625"/>
  <c r="AG1626"/>
  <c r="AG1627"/>
  <c r="AG1628"/>
  <c r="AG1629"/>
  <c r="AG1630"/>
  <c r="AG1631"/>
  <c r="AG1632"/>
  <c r="AG1633"/>
  <c r="AG1634"/>
  <c r="AG1635"/>
  <c r="AG1636"/>
  <c r="AG1637"/>
  <c r="AG1638"/>
  <c r="AG1639"/>
  <c r="AG1640"/>
  <c r="AG1641"/>
  <c r="AG1642"/>
  <c r="AG1643"/>
  <c r="AG1644"/>
  <c r="AG1645"/>
  <c r="AG1648"/>
  <c r="AG1649"/>
  <c r="AG1650"/>
  <c r="AG1651"/>
  <c r="AG1652"/>
  <c r="AG1653"/>
  <c r="AG1654"/>
  <c r="AG1655"/>
  <c r="AG1656"/>
  <c r="AG1657"/>
  <c r="AG1658"/>
  <c r="AG1659"/>
  <c r="AG1660"/>
  <c r="AG1661"/>
  <c r="AG1662"/>
  <c r="AG1663"/>
  <c r="AG1664"/>
  <c r="AG1665"/>
  <c r="AG1666"/>
  <c r="AG1667"/>
  <c r="AG1668"/>
  <c r="AG1669"/>
  <c r="AG1670"/>
  <c r="AG1671"/>
  <c r="AG1672"/>
  <c r="AG1673"/>
  <c r="AG1674"/>
  <c r="AG1675"/>
  <c r="AG1676"/>
  <c r="AG1677"/>
  <c r="AG1678"/>
  <c r="AG1679"/>
  <c r="AG1680"/>
  <c r="AG1681"/>
  <c r="AG1682"/>
  <c r="AG1683"/>
  <c r="AG1684"/>
  <c r="AG1685"/>
  <c r="AG1686"/>
  <c r="AG1687"/>
  <c r="AG1688"/>
  <c r="AG1689"/>
  <c r="AG1690"/>
  <c r="AG1691"/>
  <c r="AG1692"/>
  <c r="AG1693"/>
  <c r="AG1694"/>
  <c r="AG1695"/>
  <c r="AG1696"/>
  <c r="AG1697"/>
  <c r="AG1698"/>
  <c r="AG1699"/>
  <c r="AG1700"/>
  <c r="AG1701"/>
  <c r="AG1702"/>
  <c r="AG1703"/>
  <c r="AG1704"/>
  <c r="AG1706"/>
  <c r="AG1707"/>
  <c r="AG1708"/>
  <c r="AG1711"/>
  <c r="AG1712"/>
  <c r="AG1713"/>
  <c r="AG1714"/>
  <c r="AG1715"/>
  <c r="AG1716"/>
  <c r="AG1717"/>
  <c r="AG1718"/>
  <c r="AG1719"/>
  <c r="AG1720"/>
  <c r="AG1721"/>
  <c r="AG1722"/>
  <c r="AG1723"/>
  <c r="AG1724"/>
  <c r="AG1725"/>
  <c r="AG1726"/>
  <c r="AG1727"/>
  <c r="AG1728"/>
  <c r="AG1729"/>
  <c r="AG1730"/>
  <c r="AG1731"/>
  <c r="AG1732"/>
  <c r="AG1733"/>
  <c r="AG1734"/>
  <c r="AG1735"/>
  <c r="AG1736"/>
  <c r="AG1737"/>
  <c r="AG1738"/>
  <c r="AG1739"/>
  <c r="AG1741"/>
  <c r="AG1742"/>
  <c r="AG1745"/>
  <c r="AG1746"/>
  <c r="AG1747"/>
  <c r="AG1748"/>
  <c r="AG1749"/>
  <c r="AG1750"/>
  <c r="AG1751"/>
  <c r="AG1752"/>
  <c r="AG1753"/>
  <c r="AG1754"/>
  <c r="AG1755"/>
  <c r="AG1756"/>
  <c r="AG1757"/>
  <c r="AG1758"/>
  <c r="AG1759"/>
  <c r="AG1760"/>
  <c r="AG1761"/>
  <c r="AG1762"/>
  <c r="AG1763"/>
  <c r="AG1764"/>
  <c r="AG1765"/>
  <c r="AG1766"/>
  <c r="AG1767"/>
  <c r="AG1768"/>
  <c r="AG1769"/>
  <c r="AG1770"/>
  <c r="AG1771"/>
  <c r="AG1772"/>
  <c r="AG1773"/>
  <c r="AG1774"/>
  <c r="AG1775"/>
  <c r="AG1776"/>
  <c r="AG1777"/>
  <c r="AG1778"/>
  <c r="AG1779"/>
  <c r="AG1780"/>
  <c r="AG1781"/>
  <c r="AG1782"/>
  <c r="AG1783"/>
  <c r="AG1784"/>
  <c r="AG1785"/>
  <c r="AG1787"/>
  <c r="AG1788"/>
  <c r="AG1790"/>
  <c r="AG1791"/>
  <c r="AG1792"/>
  <c r="AG1793"/>
  <c r="AG1794"/>
  <c r="AG1795"/>
  <c r="AG1796"/>
  <c r="AG1797"/>
  <c r="AG1798"/>
  <c r="AG1799"/>
  <c r="AG1800"/>
  <c r="AG1801"/>
  <c r="AG1802"/>
  <c r="AG1803"/>
  <c r="AG1804"/>
  <c r="AG1805"/>
  <c r="AG1806"/>
  <c r="AG1807"/>
  <c r="AG1808"/>
  <c r="AG1809"/>
  <c r="AG1810"/>
  <c r="AG1811"/>
  <c r="AG1812"/>
  <c r="AG1813"/>
  <c r="AG1814"/>
  <c r="AG1815"/>
  <c r="AG1816"/>
  <c r="AG1817"/>
  <c r="AG1818"/>
  <c r="AG1819"/>
  <c r="AG1820"/>
  <c r="AG1823"/>
  <c r="AG1822"/>
  <c r="AG1825"/>
  <c r="AG1826"/>
  <c r="AG1827"/>
  <c r="AG734"/>
  <c r="AF734"/>
  <c r="AF735"/>
  <c r="AF736"/>
  <c r="AF737"/>
  <c r="AF738"/>
  <c r="AF739"/>
  <c r="AF740"/>
  <c r="AF741"/>
  <c r="AF742"/>
  <c r="AF743"/>
  <c r="AF744"/>
  <c r="AF745"/>
  <c r="AF746"/>
  <c r="AF747"/>
  <c r="AF748"/>
  <c r="AF749"/>
  <c r="AF750"/>
  <c r="AF751"/>
  <c r="AF752"/>
  <c r="AF753"/>
  <c r="AF754"/>
  <c r="AF755"/>
  <c r="AF756"/>
  <c r="AF757"/>
  <c r="AF758"/>
  <c r="AF759"/>
  <c r="AF760"/>
  <c r="AF761"/>
  <c r="AF762"/>
  <c r="AF763"/>
  <c r="AF764"/>
  <c r="AF765"/>
  <c r="AF766"/>
  <c r="AF767"/>
  <c r="AF768"/>
  <c r="AF769"/>
  <c r="AF770"/>
  <c r="AF771"/>
  <c r="AF772"/>
  <c r="AF773"/>
  <c r="AF774"/>
  <c r="AF775"/>
  <c r="AF776"/>
  <c r="AF777"/>
  <c r="AF778"/>
  <c r="AF779"/>
  <c r="AF780"/>
  <c r="AF781"/>
  <c r="AF782"/>
  <c r="AF783"/>
  <c r="AF784"/>
  <c r="AF785"/>
  <c r="AF786"/>
  <c r="AF787"/>
  <c r="AF788"/>
  <c r="AF789"/>
  <c r="AF790"/>
  <c r="AF791"/>
  <c r="AF792"/>
  <c r="AF793"/>
  <c r="AF794"/>
  <c r="AF795"/>
  <c r="AF796"/>
  <c r="AF797"/>
  <c r="AF798"/>
  <c r="AF799"/>
  <c r="AF800"/>
  <c r="AF801"/>
  <c r="AF802"/>
  <c r="AF803"/>
  <c r="AF804"/>
  <c r="AF805"/>
  <c r="AF806"/>
  <c r="AF807"/>
  <c r="AF808"/>
  <c r="AF809"/>
  <c r="AF810"/>
  <c r="AF811"/>
  <c r="AF812"/>
  <c r="AF813"/>
  <c r="AF814"/>
  <c r="AF815"/>
  <c r="AF816"/>
  <c r="AF817"/>
  <c r="AF818"/>
  <c r="AF819"/>
  <c r="AF820"/>
  <c r="AF821"/>
  <c r="AF822"/>
  <c r="AF823"/>
  <c r="AF824"/>
  <c r="AF825"/>
  <c r="AF826"/>
  <c r="AF827"/>
  <c r="AF828"/>
  <c r="AF829"/>
  <c r="AF830"/>
  <c r="AF831"/>
  <c r="AF832"/>
  <c r="AF833"/>
  <c r="AF834"/>
  <c r="AF835"/>
  <c r="AF836"/>
  <c r="AF837"/>
  <c r="AF838"/>
  <c r="AF839"/>
  <c r="AF840"/>
  <c r="AF841"/>
  <c r="AF842"/>
  <c r="AF843"/>
  <c r="AF844"/>
  <c r="AF845"/>
  <c r="AF846"/>
  <c r="AF847"/>
  <c r="AF848"/>
  <c r="AF849"/>
  <c r="AF850"/>
  <c r="AF851"/>
  <c r="AF852"/>
  <c r="AF853"/>
  <c r="AF854"/>
  <c r="AF855"/>
  <c r="AF856"/>
  <c r="AF857"/>
  <c r="AF858"/>
  <c r="AF859"/>
  <c r="AF860"/>
  <c r="AF861"/>
  <c r="AF862"/>
  <c r="AF863"/>
  <c r="AF864"/>
  <c r="AF865"/>
  <c r="AF866"/>
  <c r="AF867"/>
  <c r="AF868"/>
  <c r="AF869"/>
  <c r="AF870"/>
  <c r="AF871"/>
  <c r="AF872"/>
  <c r="AF873"/>
  <c r="AF874"/>
  <c r="AF875"/>
  <c r="AF876"/>
  <c r="AF877"/>
  <c r="AF878"/>
  <c r="AF879"/>
  <c r="AF880"/>
  <c r="AF881"/>
  <c r="AF882"/>
  <c r="AF883"/>
  <c r="AF884"/>
  <c r="AF885"/>
  <c r="AF886"/>
  <c r="AF887"/>
  <c r="AF888"/>
  <c r="AF889"/>
  <c r="AF890"/>
  <c r="AF891"/>
  <c r="AF892"/>
  <c r="AF893"/>
  <c r="AF894"/>
  <c r="AF895"/>
  <c r="AF896"/>
  <c r="AF897"/>
  <c r="AF898"/>
  <c r="AF899"/>
  <c r="AF900"/>
  <c r="AF901"/>
  <c r="AF902"/>
  <c r="AF903"/>
  <c r="AF904"/>
  <c r="AF905"/>
  <c r="AF906"/>
  <c r="AF907"/>
  <c r="AF908"/>
  <c r="AF909"/>
  <c r="AF910"/>
  <c r="AF911"/>
  <c r="AF912"/>
  <c r="AF913"/>
  <c r="AF914"/>
  <c r="AF915"/>
  <c r="AF916"/>
  <c r="AF917"/>
  <c r="AF918"/>
  <c r="AF919"/>
  <c r="AF920"/>
  <c r="AF921"/>
  <c r="AF922"/>
  <c r="AF923"/>
  <c r="AF924"/>
  <c r="AF925"/>
  <c r="AF926"/>
  <c r="AF927"/>
  <c r="AF928"/>
  <c r="AF929"/>
  <c r="AF930"/>
  <c r="AF931"/>
  <c r="AF932"/>
  <c r="AF933"/>
  <c r="AF934"/>
  <c r="AF935"/>
  <c r="AF936"/>
  <c r="AF937"/>
  <c r="AF938"/>
  <c r="AF939"/>
  <c r="AF940"/>
  <c r="AF941"/>
  <c r="AF942"/>
  <c r="AF943"/>
  <c r="AF944"/>
  <c r="AF945"/>
  <c r="AF946"/>
  <c r="AF947"/>
  <c r="AF948"/>
  <c r="AF949"/>
  <c r="AF950"/>
  <c r="AF951"/>
  <c r="AF952"/>
  <c r="AF953"/>
  <c r="AF954"/>
  <c r="AF955"/>
  <c r="AF956"/>
  <c r="AF957"/>
  <c r="AF958"/>
  <c r="AF959"/>
  <c r="AF960"/>
  <c r="AF961"/>
  <c r="AF962"/>
  <c r="AF963"/>
  <c r="AF964"/>
  <c r="AF965"/>
  <c r="AF966"/>
  <c r="AF967"/>
  <c r="AF968"/>
  <c r="AF969"/>
  <c r="AF970"/>
  <c r="AF971"/>
  <c r="AF972"/>
  <c r="AF973"/>
  <c r="AF974"/>
  <c r="AF975"/>
  <c r="AF976"/>
  <c r="AF977"/>
  <c r="AF978"/>
  <c r="AF979"/>
  <c r="AF980"/>
  <c r="AF981"/>
  <c r="AF982"/>
  <c r="AF983"/>
  <c r="AF984"/>
  <c r="AF985"/>
  <c r="AF986"/>
  <c r="AF987"/>
  <c r="AF988"/>
  <c r="AF989"/>
  <c r="AF990"/>
  <c r="AF991"/>
  <c r="AF992"/>
  <c r="AF993"/>
  <c r="AF994"/>
  <c r="AF995"/>
  <c r="AF996"/>
  <c r="AF997"/>
  <c r="AF998"/>
  <c r="AF999"/>
  <c r="AF1000"/>
  <c r="AF1001"/>
  <c r="AF1002"/>
  <c r="AF1003"/>
  <c r="AF1004"/>
  <c r="AF1005"/>
  <c r="AF1006"/>
  <c r="AF1007"/>
  <c r="AF1008"/>
  <c r="AF1009"/>
  <c r="AF1010"/>
  <c r="AF1011"/>
  <c r="AF1012"/>
  <c r="AF1013"/>
  <c r="AF1014"/>
  <c r="AF1015"/>
  <c r="AF1016"/>
  <c r="AF1017"/>
  <c r="AF1018"/>
  <c r="AF1019"/>
  <c r="AF1020"/>
  <c r="AF1021"/>
  <c r="AF1022"/>
  <c r="AF1023"/>
  <c r="AF1024"/>
  <c r="AF1025"/>
  <c r="AF1026"/>
  <c r="AF1027"/>
  <c r="AF1028"/>
  <c r="AF1029"/>
  <c r="AF1030"/>
  <c r="AF1031"/>
  <c r="AF1032"/>
  <c r="AF1033"/>
  <c r="AF1034"/>
  <c r="AF1035"/>
  <c r="AF1036"/>
  <c r="AF1037"/>
  <c r="AF1038"/>
  <c r="AF1039"/>
  <c r="AF1040"/>
  <c r="AF1041"/>
  <c r="AF1042"/>
  <c r="AF1043"/>
  <c r="AF1044"/>
  <c r="AF1045"/>
  <c r="AF1046"/>
  <c r="AF1047"/>
  <c r="AF1048"/>
  <c r="AF1049"/>
  <c r="AF1050"/>
  <c r="AF1051"/>
  <c r="AF1052"/>
  <c r="AF1053"/>
  <c r="AF1054"/>
  <c r="AF1055"/>
  <c r="AF1056"/>
  <c r="AF1057"/>
  <c r="AF1058"/>
  <c r="AF1059"/>
  <c r="AF1060"/>
  <c r="AF1061"/>
  <c r="AF1062"/>
  <c r="AF1063"/>
  <c r="AF1064"/>
  <c r="AF1065"/>
  <c r="AF1066"/>
  <c r="AF1067"/>
  <c r="AF1068"/>
  <c r="AF1069"/>
  <c r="AF1070"/>
  <c r="AF1071"/>
  <c r="AF1072"/>
  <c r="AF1073"/>
  <c r="AF1074"/>
  <c r="AF1075"/>
  <c r="AF1076"/>
  <c r="AF1077"/>
  <c r="AF1078"/>
  <c r="AF1079"/>
  <c r="AF1080"/>
  <c r="AF1081"/>
  <c r="AF1082"/>
  <c r="AF1083"/>
  <c r="AF1084"/>
  <c r="AF1085"/>
  <c r="AF1086"/>
  <c r="AF1087"/>
  <c r="AF1088"/>
  <c r="AF1089"/>
  <c r="AF1090"/>
  <c r="AF1091"/>
  <c r="AF1092"/>
  <c r="AF1093"/>
  <c r="AF1094"/>
  <c r="AF1095"/>
  <c r="AF1096"/>
  <c r="AF1097"/>
  <c r="AF1098"/>
  <c r="AF1099"/>
  <c r="AF1100"/>
  <c r="AF1101"/>
  <c r="AF1102"/>
  <c r="AF1103"/>
  <c r="AF1104"/>
  <c r="AF1105"/>
  <c r="AF1106"/>
  <c r="AF1107"/>
  <c r="AF1108"/>
  <c r="AF1109"/>
  <c r="AF1110"/>
  <c r="AF1111"/>
  <c r="AF1112"/>
  <c r="AF1113"/>
  <c r="AF1114"/>
  <c r="AF1115"/>
  <c r="AF1116"/>
  <c r="AF1117"/>
  <c r="AF1118"/>
  <c r="AF1119"/>
  <c r="AF1120"/>
  <c r="AF1121"/>
  <c r="AF1122"/>
  <c r="AF1123"/>
  <c r="AF1124"/>
  <c r="AF1125"/>
  <c r="AF1126"/>
  <c r="AF1127"/>
  <c r="AF1128"/>
  <c r="AF1129"/>
  <c r="AF1130"/>
  <c r="AF1131"/>
  <c r="AF1132"/>
  <c r="AF1133"/>
  <c r="AF1134"/>
  <c r="AF1135"/>
  <c r="AF1136"/>
  <c r="AF1137"/>
  <c r="AF1138"/>
  <c r="AF1139"/>
  <c r="AF1140"/>
  <c r="AF1141"/>
  <c r="AF1142"/>
  <c r="AF1143"/>
  <c r="AF1144"/>
  <c r="AF1145"/>
  <c r="AF1146"/>
  <c r="AF1147"/>
  <c r="AF1148"/>
  <c r="AF1149"/>
  <c r="AF1150"/>
  <c r="AF1151"/>
  <c r="AF1152"/>
  <c r="AF1153"/>
  <c r="AF1154"/>
  <c r="AF1155"/>
  <c r="AF1156"/>
  <c r="AF1157"/>
  <c r="AF1158"/>
  <c r="AF1159"/>
  <c r="AF1160"/>
  <c r="AF1161"/>
  <c r="AF1162"/>
  <c r="AF1163"/>
  <c r="AF1164"/>
  <c r="AF1165"/>
  <c r="AF1166"/>
  <c r="AF1167"/>
  <c r="AF1168"/>
  <c r="AF1169"/>
  <c r="AF1170"/>
  <c r="AF1171"/>
  <c r="AF1172"/>
  <c r="AF1173"/>
  <c r="AF1174"/>
  <c r="AF1175"/>
  <c r="AF1176"/>
  <c r="AF1177"/>
  <c r="AF1178"/>
  <c r="AF1179"/>
  <c r="AF1180"/>
  <c r="AF1181"/>
  <c r="AF1182"/>
  <c r="AF1183"/>
  <c r="AF1184"/>
  <c r="AF1185"/>
  <c r="AF1186"/>
  <c r="AF1187"/>
  <c r="AF1188"/>
  <c r="AF1189"/>
  <c r="AF1190"/>
  <c r="AF1191"/>
  <c r="AF1192"/>
  <c r="AF1193"/>
  <c r="AF1194"/>
  <c r="AF1195"/>
  <c r="AF1196"/>
  <c r="AF1197"/>
  <c r="AF1198"/>
  <c r="AF1199"/>
  <c r="AF1200"/>
  <c r="AF1201"/>
  <c r="AF1202"/>
  <c r="AF1203"/>
  <c r="AF1204"/>
  <c r="AF1205"/>
  <c r="AF1206"/>
  <c r="AF1207"/>
  <c r="AF1208"/>
  <c r="AF1209"/>
  <c r="AF1210"/>
  <c r="AF1211"/>
  <c r="AF1212"/>
  <c r="AF1213"/>
  <c r="AF1214"/>
  <c r="AF1215"/>
  <c r="AF1216"/>
  <c r="AF1217"/>
  <c r="AF1218"/>
  <c r="AF1219"/>
  <c r="AF1220"/>
  <c r="AF1221"/>
  <c r="AF1222"/>
  <c r="AF1223"/>
  <c r="AF1224"/>
  <c r="AF1225"/>
  <c r="AF1226"/>
  <c r="AF1227"/>
  <c r="AF1228"/>
  <c r="AF1229"/>
  <c r="AF1230"/>
  <c r="AF1231"/>
  <c r="AF1232"/>
  <c r="AF1233"/>
  <c r="AF1234"/>
  <c r="AF1235"/>
  <c r="AF1236"/>
  <c r="AF1237"/>
  <c r="AF1238"/>
  <c r="AF1239"/>
  <c r="AF1240"/>
  <c r="AF1241"/>
  <c r="AF1242"/>
  <c r="AF1243"/>
  <c r="AF1244"/>
  <c r="AF1245"/>
  <c r="AF1246"/>
  <c r="AF1247"/>
  <c r="AF1248"/>
  <c r="AF1249"/>
  <c r="AF1250"/>
  <c r="AF1251"/>
  <c r="AF1252"/>
  <c r="AF1253"/>
  <c r="AF1254"/>
  <c r="AF1255"/>
  <c r="AF1256"/>
  <c r="AF1257"/>
  <c r="AF1258"/>
  <c r="AF1259"/>
  <c r="AF1260"/>
  <c r="AF1261"/>
  <c r="AF1262"/>
  <c r="AF1263"/>
  <c r="AF1264"/>
  <c r="AF1265"/>
  <c r="AF1266"/>
  <c r="AF1267"/>
  <c r="AF1268"/>
  <c r="AF1269"/>
  <c r="AF1270"/>
  <c r="AF1271"/>
  <c r="AF1272"/>
  <c r="AF1273"/>
  <c r="AF1274"/>
  <c r="AF1275"/>
  <c r="AF1276"/>
  <c r="AF1277"/>
  <c r="AF1278"/>
  <c r="AF1279"/>
  <c r="AF1280"/>
  <c r="AF1281"/>
  <c r="AF1282"/>
  <c r="AF1283"/>
  <c r="AF1284"/>
  <c r="AF1285"/>
  <c r="AF1286"/>
  <c r="AF1287"/>
  <c r="AF1288"/>
  <c r="AF1289"/>
  <c r="AF1290"/>
  <c r="AF1291"/>
  <c r="AF1292"/>
  <c r="AF1293"/>
  <c r="AF1294"/>
  <c r="AF1295"/>
  <c r="AF1296"/>
  <c r="AF1297"/>
  <c r="AF1298"/>
  <c r="AF1299"/>
  <c r="AF1300"/>
  <c r="AF1301"/>
  <c r="AF1302"/>
  <c r="AF1303"/>
  <c r="AF1304"/>
  <c r="AF1305"/>
  <c r="AF1306"/>
  <c r="AF1307"/>
  <c r="AF1308"/>
  <c r="AF1309"/>
  <c r="AF1310"/>
  <c r="AF1311"/>
  <c r="AF1312"/>
  <c r="AF1313"/>
  <c r="AF1314"/>
  <c r="AF1315"/>
  <c r="AF1316"/>
  <c r="AF1317"/>
  <c r="AF1318"/>
  <c r="AF1319"/>
  <c r="AF1320"/>
  <c r="AF1321"/>
  <c r="AF1322"/>
  <c r="AF1323"/>
  <c r="AF1324"/>
  <c r="AF1325"/>
  <c r="AF1326"/>
  <c r="AF1327"/>
  <c r="AF1328"/>
  <c r="AF1329"/>
  <c r="AF1330"/>
  <c r="AF1331"/>
  <c r="AF1332"/>
  <c r="AF1333"/>
  <c r="AF1334"/>
  <c r="AF1335"/>
  <c r="AF1336"/>
  <c r="AF1337"/>
  <c r="AF1338"/>
  <c r="AF1339"/>
  <c r="AF1340"/>
  <c r="AF1341"/>
  <c r="AF1342"/>
  <c r="AF1343"/>
  <c r="AF1344"/>
  <c r="AF1345"/>
  <c r="AF1346"/>
  <c r="AF1347"/>
  <c r="AF1348"/>
  <c r="AF1349"/>
  <c r="AF1350"/>
  <c r="AF1351"/>
  <c r="AF1352"/>
  <c r="AF1353"/>
  <c r="AF1354"/>
  <c r="AF1355"/>
  <c r="AF1356"/>
  <c r="AF1357"/>
  <c r="AF1358"/>
  <c r="AF1359"/>
  <c r="AF1360"/>
  <c r="AF1361"/>
  <c r="AF1362"/>
  <c r="AF1363"/>
  <c r="AF1364"/>
  <c r="AF1365"/>
  <c r="AF1366"/>
  <c r="AF1367"/>
  <c r="AF1368"/>
  <c r="AF1369"/>
  <c r="AF1370"/>
  <c r="AF1371"/>
  <c r="AF1372"/>
  <c r="AF1373"/>
  <c r="AF1374"/>
  <c r="AF1375"/>
  <c r="AF1376"/>
  <c r="AF1377"/>
  <c r="AF1378"/>
  <c r="AF1379"/>
  <c r="AF1380"/>
  <c r="AF1381"/>
  <c r="AF1382"/>
  <c r="AF1383"/>
  <c r="AF1384"/>
  <c r="AF1385"/>
  <c r="AF1386"/>
  <c r="AF1387"/>
  <c r="AF1388"/>
  <c r="AF1389"/>
  <c r="AF1390"/>
  <c r="AF1391"/>
  <c r="AF1392"/>
  <c r="AF1393"/>
  <c r="AF1394"/>
  <c r="AF1395"/>
  <c r="AF1396"/>
  <c r="AF1397"/>
  <c r="AF1398"/>
  <c r="AF1399"/>
  <c r="AF1400"/>
  <c r="AF1401"/>
  <c r="AF1402"/>
  <c r="AF1403"/>
  <c r="AF1404"/>
  <c r="AF1405"/>
  <c r="AF1406"/>
  <c r="AF1407"/>
  <c r="AF1408"/>
  <c r="AF1409"/>
  <c r="AF1410"/>
  <c r="AF1411"/>
  <c r="AF1412"/>
  <c r="AF1413"/>
  <c r="AF1414"/>
  <c r="AF1415"/>
  <c r="AF1416"/>
  <c r="AF1417"/>
  <c r="AF1418"/>
  <c r="AF1419"/>
  <c r="AF1420"/>
  <c r="AF1421"/>
  <c r="AF1422"/>
  <c r="AF1423"/>
  <c r="AF1424"/>
  <c r="AF1425"/>
  <c r="AF1426"/>
  <c r="AF1427"/>
  <c r="AF1428"/>
  <c r="AF1429"/>
  <c r="AF1430"/>
  <c r="AF1431"/>
  <c r="AF1432"/>
  <c r="AF1433"/>
  <c r="AF1434"/>
  <c r="AF1435"/>
  <c r="AF1436"/>
  <c r="AF1437"/>
  <c r="AF1438"/>
  <c r="AF1439"/>
  <c r="AF1440"/>
  <c r="AF1441"/>
  <c r="AF1442"/>
  <c r="AF1443"/>
  <c r="AF1444"/>
  <c r="AF1445"/>
  <c r="AF1446"/>
  <c r="AF1447"/>
  <c r="AF1448"/>
  <c r="AF1449"/>
  <c r="AF1450"/>
  <c r="AF1451"/>
  <c r="AF1452"/>
  <c r="AF1453"/>
  <c r="AF1454"/>
  <c r="AF1455"/>
  <c r="AF1456"/>
  <c r="AF1457"/>
  <c r="AF1458"/>
  <c r="AF1459"/>
  <c r="AF1460"/>
  <c r="AF1461"/>
  <c r="AF1462"/>
  <c r="AF1463"/>
  <c r="AF1464"/>
  <c r="AF1465"/>
  <c r="AF1466"/>
  <c r="AF1467"/>
  <c r="AF1468"/>
  <c r="AF1469"/>
  <c r="AF1470"/>
  <c r="AF1471"/>
  <c r="AF1472"/>
  <c r="AF1473"/>
  <c r="AF1474"/>
  <c r="AF1475"/>
  <c r="AF1476"/>
  <c r="AF1477"/>
  <c r="AF1478"/>
  <c r="AF1479"/>
  <c r="AF1480"/>
  <c r="AF1481"/>
  <c r="AF1482"/>
  <c r="AF1483"/>
  <c r="AF1484"/>
  <c r="AF1485"/>
  <c r="AF1486"/>
  <c r="AF1487"/>
  <c r="AF1488"/>
  <c r="AF1489"/>
  <c r="AF1490"/>
  <c r="AF1491"/>
  <c r="AF1492"/>
  <c r="AF1493"/>
  <c r="AF1494"/>
  <c r="AF1495"/>
  <c r="AF1496"/>
  <c r="AF1497"/>
  <c r="AF1498"/>
  <c r="AF1499"/>
  <c r="AF1500"/>
  <c r="AF1501"/>
  <c r="AF1502"/>
  <c r="AF1503"/>
  <c r="AF1504"/>
  <c r="AF1505"/>
  <c r="AF1506"/>
  <c r="AF1507"/>
  <c r="AF1508"/>
  <c r="AF1509"/>
  <c r="AF1510"/>
  <c r="AF1511"/>
  <c r="AF1512"/>
  <c r="AF1513"/>
  <c r="AF1514"/>
  <c r="AF1515"/>
  <c r="AF1516"/>
  <c r="AF1517"/>
  <c r="AF1518"/>
  <c r="AF1519"/>
  <c r="AF1520"/>
  <c r="AF1521"/>
  <c r="AF1522"/>
  <c r="AF1523"/>
  <c r="AF1524"/>
  <c r="AF1525"/>
  <c r="AF1526"/>
  <c r="AF1527"/>
  <c r="AF1528"/>
  <c r="AF1529"/>
  <c r="AF1530"/>
  <c r="AF1531"/>
  <c r="AF1532"/>
  <c r="AF1533"/>
  <c r="AF1534"/>
  <c r="AF1535"/>
  <c r="AF1536"/>
  <c r="AF1537"/>
  <c r="AF1538"/>
  <c r="AF1539"/>
  <c r="AF1540"/>
  <c r="AF1541"/>
  <c r="AF1542"/>
  <c r="AF1543"/>
  <c r="AF1544"/>
  <c r="AF1545"/>
  <c r="AF1546"/>
  <c r="AF1547"/>
  <c r="AF1548"/>
  <c r="AF1549"/>
  <c r="AF1550"/>
  <c r="AF1551"/>
  <c r="AF1552"/>
  <c r="AF1553"/>
  <c r="AF1554"/>
  <c r="AF1555"/>
  <c r="AF1556"/>
  <c r="AF1557"/>
  <c r="AF1558"/>
  <c r="AF1559"/>
  <c r="AF1560"/>
  <c r="AF1561"/>
  <c r="AF1562"/>
  <c r="AF1563"/>
  <c r="AF1564"/>
  <c r="AF1565"/>
  <c r="AF1566"/>
  <c r="AF1567"/>
  <c r="AF1568"/>
  <c r="AF1569"/>
  <c r="AF1570"/>
  <c r="AF1571"/>
  <c r="AF1572"/>
  <c r="AF1573"/>
  <c r="AF1574"/>
  <c r="AF1575"/>
  <c r="AF1576"/>
  <c r="AF1577"/>
  <c r="AF1578"/>
  <c r="AF1579"/>
  <c r="AF1580"/>
  <c r="AF1581"/>
  <c r="AF1582"/>
  <c r="AF1583"/>
  <c r="AF1584"/>
  <c r="AF1585"/>
  <c r="AF1586"/>
  <c r="AF1587"/>
  <c r="AF1588"/>
  <c r="AF1589"/>
  <c r="AF1590"/>
  <c r="AF1591"/>
  <c r="AF1592"/>
  <c r="AF1593"/>
  <c r="AF1594"/>
  <c r="AF1595"/>
  <c r="AF1596"/>
  <c r="AF1597"/>
  <c r="AF1598"/>
  <c r="AF1599"/>
  <c r="AF1600"/>
  <c r="AF1601"/>
  <c r="AF1602"/>
  <c r="AF1603"/>
  <c r="AF1604"/>
  <c r="AF1605"/>
  <c r="AF1606"/>
  <c r="AF1607"/>
  <c r="AF1608"/>
  <c r="AF1609"/>
  <c r="AF1610"/>
  <c r="AF1611"/>
  <c r="AF1612"/>
  <c r="AF1613"/>
  <c r="AF1614"/>
  <c r="AF1615"/>
  <c r="AF1616"/>
  <c r="AF1617"/>
  <c r="AF1618"/>
  <c r="AF1619"/>
  <c r="AF1620"/>
  <c r="AF1621"/>
  <c r="AF1622"/>
  <c r="AF1623"/>
  <c r="AF1624"/>
  <c r="AF1625"/>
  <c r="AF1626"/>
  <c r="AF1627"/>
  <c r="AF1628"/>
  <c r="AF1629"/>
  <c r="AF1630"/>
  <c r="AF1631"/>
  <c r="AF1632"/>
  <c r="AF1633"/>
  <c r="AF1634"/>
  <c r="AF1635"/>
  <c r="AF1636"/>
  <c r="AF1637"/>
  <c r="AF1638"/>
  <c r="AF1639"/>
  <c r="AF1640"/>
  <c r="AF1641"/>
  <c r="AF1642"/>
  <c r="AF1643"/>
  <c r="AF1644"/>
  <c r="AF1645"/>
  <c r="AF1646"/>
  <c r="AF1647"/>
  <c r="AF1648"/>
  <c r="AF1649"/>
  <c r="AF1650"/>
  <c r="AF1651"/>
  <c r="AF1652"/>
  <c r="AF1653"/>
  <c r="AF1654"/>
  <c r="AF1655"/>
  <c r="AF1656"/>
  <c r="AF1657"/>
  <c r="AF1658"/>
  <c r="AF1659"/>
  <c r="AF1660"/>
  <c r="AF1661"/>
  <c r="AF1662"/>
  <c r="AF1663"/>
  <c r="AF1664"/>
  <c r="AF1665"/>
  <c r="AF1666"/>
  <c r="AF1667"/>
  <c r="AF1668"/>
  <c r="AF1669"/>
  <c r="AF1670"/>
  <c r="AF1671"/>
  <c r="AF1672"/>
  <c r="AF1673"/>
  <c r="AF1674"/>
  <c r="AF1675"/>
  <c r="AF1676"/>
  <c r="AF1677"/>
  <c r="AF1678"/>
  <c r="AF1679"/>
  <c r="AF1680"/>
  <c r="AF1681"/>
  <c r="AF1682"/>
  <c r="AF1683"/>
  <c r="AF1684"/>
  <c r="AF1685"/>
  <c r="AF1686"/>
  <c r="AF1687"/>
  <c r="AF1688"/>
  <c r="AF1689"/>
  <c r="AF1690"/>
  <c r="AF1691"/>
  <c r="AF1692"/>
  <c r="AF1693"/>
  <c r="AF1694"/>
  <c r="AF1695"/>
  <c r="AF1696"/>
  <c r="AF1697"/>
  <c r="AF1698"/>
  <c r="AF1699"/>
  <c r="AF1700"/>
  <c r="AF1701"/>
  <c r="AF1702"/>
  <c r="AF1703"/>
  <c r="AF1704"/>
  <c r="AF1705"/>
  <c r="AF1706"/>
  <c r="AF1707"/>
  <c r="AF1708"/>
  <c r="AF1709"/>
  <c r="AF1710"/>
  <c r="AF1711"/>
  <c r="AF1712"/>
  <c r="AF1713"/>
  <c r="AF1714"/>
  <c r="AF1715"/>
  <c r="AF1716"/>
  <c r="AF1717"/>
  <c r="AF1718"/>
  <c r="AF1719"/>
  <c r="AF1720"/>
  <c r="AF1721"/>
  <c r="AF1722"/>
  <c r="AF1723"/>
  <c r="AF1724"/>
  <c r="AF1725"/>
  <c r="AF1726"/>
  <c r="AF1727"/>
  <c r="AF1728"/>
  <c r="AF1729"/>
  <c r="AF1730"/>
  <c r="AF1731"/>
  <c r="AF1732"/>
  <c r="AF1733"/>
  <c r="AF1734"/>
  <c r="AF1735"/>
  <c r="AF1736"/>
  <c r="AF1737"/>
  <c r="AF1738"/>
  <c r="AF1739"/>
  <c r="AF1740"/>
  <c r="AF1741"/>
  <c r="AF1742"/>
  <c r="AF1743"/>
  <c r="AF1744"/>
  <c r="AF1745"/>
  <c r="AF1746"/>
  <c r="AF1747"/>
  <c r="AF1748"/>
  <c r="AF1749"/>
  <c r="AF1750"/>
  <c r="AF1751"/>
  <c r="AF1752"/>
  <c r="AF1753"/>
  <c r="AF1754"/>
  <c r="AF1755"/>
  <c r="AF1756"/>
  <c r="AF1757"/>
  <c r="AF1758"/>
  <c r="AF1759"/>
  <c r="AF1760"/>
  <c r="AF1761"/>
  <c r="AF1762"/>
  <c r="AF1763"/>
  <c r="AF1764"/>
  <c r="AF1765"/>
  <c r="AF1766"/>
  <c r="AF1767"/>
  <c r="AF1768"/>
  <c r="AF1769"/>
  <c r="AF1770"/>
  <c r="AF1771"/>
  <c r="AF1772"/>
  <c r="AF1773"/>
  <c r="AF1774"/>
  <c r="AF1775"/>
  <c r="AF1776"/>
  <c r="AF1777"/>
  <c r="AF1778"/>
  <c r="AF1779"/>
  <c r="AF1780"/>
  <c r="AF1781"/>
  <c r="AF1782"/>
  <c r="AF1783"/>
  <c r="AF1784"/>
  <c r="AF1785"/>
  <c r="AF1786"/>
  <c r="AF1787"/>
  <c r="AF1788"/>
  <c r="AF1789"/>
  <c r="AF1790"/>
  <c r="AF1791"/>
  <c r="AF1792"/>
  <c r="AF1793"/>
  <c r="AF1794"/>
  <c r="AF1795"/>
  <c r="AF1796"/>
  <c r="AF1797"/>
  <c r="AF1798"/>
  <c r="AF1799"/>
  <c r="AF1800"/>
  <c r="AF1801"/>
  <c r="AF1802"/>
  <c r="AF1803"/>
  <c r="AF1804"/>
  <c r="AF1805"/>
  <c r="AF1806"/>
  <c r="AF1807"/>
  <c r="AF1808"/>
  <c r="AF1809"/>
  <c r="AF1810"/>
  <c r="AF1811"/>
  <c r="AF1812"/>
  <c r="AF1813"/>
  <c r="AF1814"/>
  <c r="AF1815"/>
  <c r="AF1816"/>
  <c r="AF1817"/>
  <c r="AF1818"/>
  <c r="AF1819"/>
  <c r="AF1820"/>
  <c r="AF1821"/>
  <c r="AF1822"/>
  <c r="AF1823"/>
  <c r="AF1824"/>
  <c r="AF1825"/>
  <c r="AF1826"/>
  <c r="AF1827"/>
  <c r="AF1828"/>
  <c r="AF1829"/>
  <c r="AF733"/>
  <c r="AF732"/>
  <c r="AG731"/>
  <c r="AF731"/>
  <c r="AF730"/>
  <c r="AF729"/>
  <c r="AG729" s="1"/>
  <c r="AF728"/>
  <c r="AG728" s="1"/>
  <c r="AF727"/>
  <c r="AG727" s="1"/>
  <c r="AF726"/>
  <c r="AF725"/>
  <c r="AF724"/>
  <c r="AG724" s="1"/>
  <c r="AF723"/>
  <c r="AF722"/>
  <c r="AG722" s="1"/>
  <c r="AG721"/>
  <c r="AF721"/>
  <c r="AF720"/>
  <c r="AG720" s="1"/>
  <c r="AG719"/>
  <c r="AF719"/>
  <c r="AF718"/>
  <c r="AG718" s="1"/>
  <c r="AG717"/>
  <c r="AF717"/>
  <c r="AF716"/>
  <c r="AG716" s="1"/>
  <c r="AG715"/>
  <c r="AF715"/>
  <c r="AF714"/>
  <c r="AG714" s="1"/>
  <c r="AG713"/>
  <c r="AF713"/>
  <c r="AF712"/>
  <c r="AG712" s="1"/>
  <c r="AG711"/>
  <c r="AF711"/>
  <c r="AF710"/>
  <c r="AG710" s="1"/>
  <c r="AG709"/>
  <c r="AF709"/>
  <c r="AF708"/>
  <c r="AG708" s="1"/>
  <c r="AG707"/>
  <c r="AF707"/>
  <c r="AF706"/>
  <c r="AG706" s="1"/>
  <c r="AG705"/>
  <c r="AF705"/>
  <c r="AF704"/>
  <c r="AG704" s="1"/>
  <c r="AG703"/>
  <c r="AF703"/>
  <c r="AF702"/>
  <c r="AG702" s="1"/>
  <c r="AG701"/>
  <c r="AF701"/>
  <c r="AF700"/>
  <c r="AG700" s="1"/>
  <c r="AG699"/>
  <c r="AF699"/>
  <c r="AF698"/>
  <c r="AG698" s="1"/>
  <c r="AF697"/>
  <c r="AG696"/>
  <c r="AF696"/>
  <c r="AF695"/>
  <c r="AF694"/>
  <c r="AF693"/>
  <c r="AF692"/>
  <c r="AG692" s="1"/>
  <c r="AG691"/>
  <c r="AF691"/>
  <c r="AF690"/>
  <c r="AG690" s="1"/>
  <c r="AG689"/>
  <c r="AF689"/>
  <c r="AF688"/>
  <c r="AG688" s="1"/>
  <c r="AG687"/>
  <c r="AF687"/>
  <c r="AF686"/>
  <c r="AG686" s="1"/>
  <c r="AG685"/>
  <c r="AF685"/>
  <c r="AF684"/>
  <c r="AG684" s="1"/>
  <c r="AG683"/>
  <c r="AF683"/>
  <c r="AF682"/>
  <c r="AG682" s="1"/>
  <c r="AF681"/>
  <c r="AF680"/>
  <c r="AF679"/>
  <c r="AF678"/>
  <c r="AG677"/>
  <c r="AF677"/>
  <c r="AF676"/>
  <c r="AG676" s="1"/>
  <c r="AG675"/>
  <c r="AF675"/>
  <c r="AF674"/>
  <c r="AG674" s="1"/>
  <c r="AG673"/>
  <c r="AF673"/>
  <c r="AF672"/>
  <c r="AG672" s="1"/>
  <c r="AG671"/>
  <c r="AF671"/>
  <c r="AF670"/>
  <c r="AG670" s="1"/>
  <c r="AG669"/>
  <c r="AF669"/>
  <c r="AF668"/>
  <c r="AG668" s="1"/>
  <c r="AG667"/>
  <c r="AF667"/>
  <c r="AF666"/>
  <c r="AG666" s="1"/>
  <c r="AG665"/>
  <c r="AF665"/>
  <c r="AF664"/>
  <c r="AG664" s="1"/>
  <c r="AG663"/>
  <c r="AF663"/>
  <c r="AF662"/>
  <c r="AG662" s="1"/>
  <c r="AG661"/>
  <c r="AF661"/>
  <c r="AF660"/>
  <c r="AG660" s="1"/>
  <c r="AG659"/>
  <c r="AF659"/>
  <c r="AF658"/>
  <c r="AG658" s="1"/>
  <c r="AG657"/>
  <c r="AF657"/>
  <c r="AF656"/>
  <c r="AG656" s="1"/>
  <c r="AG655"/>
  <c r="AF655"/>
  <c r="AF654"/>
  <c r="AG654" s="1"/>
  <c r="AG653"/>
  <c r="AF653"/>
  <c r="AF652"/>
  <c r="AF651"/>
  <c r="AF650"/>
  <c r="AF649"/>
  <c r="AF648"/>
  <c r="AF647"/>
  <c r="AG646"/>
  <c r="AF646"/>
  <c r="AF645"/>
  <c r="AG645" s="1"/>
  <c r="AG644"/>
  <c r="AF644"/>
  <c r="AF643"/>
  <c r="AG643" s="1"/>
  <c r="AG642"/>
  <c r="AF642"/>
  <c r="AF641"/>
  <c r="AG641" s="1"/>
  <c r="AG640"/>
  <c r="AF640"/>
  <c r="AF639"/>
  <c r="AG639" s="1"/>
  <c r="AG638"/>
  <c r="AF638"/>
  <c r="AF637"/>
  <c r="AG637" s="1"/>
  <c r="AG636"/>
  <c r="AF636"/>
  <c r="AF635"/>
  <c r="AG635" s="1"/>
  <c r="AG634"/>
  <c r="AF634"/>
  <c r="AF633"/>
  <c r="AG633" s="1"/>
  <c r="AG632"/>
  <c r="AF632"/>
  <c r="AF631"/>
  <c r="AG631" s="1"/>
  <c r="AG630"/>
  <c r="AF630"/>
  <c r="AF629"/>
  <c r="AG629" s="1"/>
  <c r="AG628"/>
  <c r="AF628"/>
  <c r="AF627"/>
  <c r="AG627" s="1"/>
  <c r="AG626"/>
  <c r="AF626"/>
  <c r="AF625"/>
  <c r="AG625" s="1"/>
  <c r="AG624"/>
  <c r="AF624"/>
  <c r="AF623"/>
  <c r="AG623" s="1"/>
  <c r="AG622"/>
  <c r="AF622"/>
  <c r="AF621"/>
  <c r="AG621" s="1"/>
  <c r="AG620"/>
  <c r="AF620"/>
  <c r="AF619"/>
  <c r="AG619" s="1"/>
  <c r="AG618"/>
  <c r="AF618"/>
  <c r="AF617"/>
  <c r="AF616"/>
  <c r="AF615"/>
  <c r="AF614"/>
  <c r="AF613"/>
  <c r="AF612"/>
  <c r="AG611"/>
  <c r="AF611"/>
  <c r="AF610"/>
  <c r="AG610" s="1"/>
  <c r="AG609"/>
  <c r="AF609"/>
  <c r="AF608"/>
  <c r="AG608" s="1"/>
  <c r="AG607"/>
  <c r="AF607"/>
  <c r="AF606"/>
  <c r="AG606" s="1"/>
  <c r="AG605"/>
  <c r="AF605"/>
  <c r="AF604"/>
  <c r="AG604" s="1"/>
  <c r="AG603"/>
  <c r="AF603"/>
  <c r="AF602"/>
  <c r="AG602" s="1"/>
  <c r="AG601"/>
  <c r="AF601"/>
  <c r="AF600"/>
  <c r="AG600" s="1"/>
  <c r="AG599"/>
  <c r="AF599"/>
  <c r="AF598"/>
  <c r="AG598" s="1"/>
  <c r="AG597"/>
  <c r="AF597"/>
  <c r="AF596"/>
  <c r="AG596" s="1"/>
  <c r="AG595"/>
  <c r="AF595"/>
  <c r="AF594"/>
  <c r="AG594" s="1"/>
  <c r="AG593"/>
  <c r="AF593"/>
  <c r="AF592"/>
  <c r="AG592" s="1"/>
  <c r="AG591"/>
  <c r="AF591"/>
  <c r="AF590"/>
  <c r="AG590" s="1"/>
  <c r="AG589"/>
  <c r="AF589"/>
  <c r="AF588"/>
  <c r="AG588" s="1"/>
  <c r="AG587"/>
  <c r="AF587"/>
  <c r="AF586"/>
  <c r="AG586" s="1"/>
  <c r="AG585"/>
  <c r="AF585"/>
  <c r="AF584"/>
  <c r="AG584" s="1"/>
  <c r="AG583"/>
  <c r="AF583"/>
  <c r="AF582"/>
  <c r="AG582" s="1"/>
  <c r="AG581"/>
  <c r="AF581"/>
  <c r="AF580"/>
  <c r="AG580" s="1"/>
  <c r="AG579"/>
  <c r="AF579"/>
  <c r="AF578"/>
  <c r="AG578" s="1"/>
  <c r="AG577"/>
  <c r="AF577"/>
  <c r="AF576"/>
  <c r="AG576" s="1"/>
  <c r="AG575"/>
  <c r="AF575"/>
  <c r="AF574"/>
  <c r="AG574" s="1"/>
  <c r="AG573"/>
  <c r="AF573"/>
  <c r="AF572"/>
  <c r="AG572" s="1"/>
  <c r="AG571"/>
  <c r="AF571"/>
  <c r="AF570"/>
  <c r="AG570" s="1"/>
  <c r="AG569"/>
  <c r="AF569"/>
  <c r="AF568"/>
  <c r="AG568" s="1"/>
  <c r="AG567"/>
  <c r="AF567"/>
  <c r="AF566"/>
  <c r="AG566" s="1"/>
  <c r="AG565"/>
  <c r="AF565"/>
  <c r="AF564"/>
  <c r="AG564" s="1"/>
  <c r="AG563"/>
  <c r="AF563"/>
  <c r="AF562"/>
  <c r="AG562" s="1"/>
  <c r="AG561"/>
  <c r="AF561"/>
  <c r="AF560"/>
  <c r="AG560" s="1"/>
  <c r="AG559"/>
  <c r="AF559"/>
  <c r="AF558"/>
  <c r="AG558" s="1"/>
  <c r="AG557"/>
  <c r="AF557"/>
  <c r="AF556"/>
  <c r="AG556" s="1"/>
  <c r="AG555"/>
  <c r="AF555"/>
  <c r="AF554"/>
  <c r="AG554" s="1"/>
  <c r="AG553"/>
  <c r="AF553"/>
  <c r="AF552"/>
  <c r="AF551"/>
  <c r="AF550"/>
  <c r="AG549"/>
  <c r="AF549"/>
  <c r="AF548"/>
  <c r="AG548" s="1"/>
  <c r="AG547"/>
  <c r="AF547"/>
  <c r="AF546"/>
  <c r="AG546" s="1"/>
  <c r="AG545"/>
  <c r="AF545"/>
  <c r="AF544"/>
  <c r="AG544" s="1"/>
  <c r="AG543"/>
  <c r="AF543"/>
  <c r="AF542"/>
  <c r="AG542" s="1"/>
  <c r="AG541"/>
  <c r="AF541"/>
  <c r="AF540"/>
  <c r="AG540" s="1"/>
  <c r="AG539"/>
  <c r="AF539"/>
  <c r="AF538"/>
  <c r="AG538" s="1"/>
  <c r="AG537"/>
  <c r="AF537"/>
  <c r="AF536"/>
  <c r="AG536" s="1"/>
  <c r="AG535"/>
  <c r="AF535"/>
  <c r="AF534"/>
  <c r="AG534" s="1"/>
  <c r="AG533"/>
  <c r="AF533"/>
  <c r="AF532"/>
  <c r="AG532" s="1"/>
  <c r="AG531"/>
  <c r="AF531"/>
  <c r="AF530"/>
  <c r="AG530" s="1"/>
  <c r="AG529"/>
  <c r="AF529"/>
  <c r="AF528"/>
  <c r="AG528" s="1"/>
  <c r="AG527"/>
  <c r="AF527"/>
  <c r="AF526"/>
  <c r="AG526" s="1"/>
  <c r="AG525"/>
  <c r="AF525"/>
  <c r="AF524"/>
  <c r="AG524" s="1"/>
  <c r="AG523"/>
  <c r="AF523"/>
  <c r="AF522"/>
  <c r="AG522" s="1"/>
  <c r="AG521"/>
  <c r="AF521"/>
  <c r="AF520"/>
  <c r="AG520" s="1"/>
  <c r="AG519"/>
  <c r="AF519"/>
  <c r="AF518"/>
  <c r="AG518" s="1"/>
  <c r="AG517"/>
  <c r="AF517"/>
  <c r="AF516"/>
  <c r="AG516" s="1"/>
  <c r="AG515"/>
  <c r="AF515"/>
  <c r="AF514"/>
  <c r="AG514" s="1"/>
  <c r="AG513"/>
  <c r="AF513"/>
  <c r="AF512"/>
  <c r="AF511"/>
  <c r="AF510"/>
  <c r="AF509"/>
  <c r="AF508"/>
  <c r="AF507"/>
  <c r="AG506"/>
  <c r="AF506"/>
  <c r="AF505"/>
  <c r="AG505" s="1"/>
  <c r="AG504"/>
  <c r="AF504"/>
  <c r="AF503"/>
  <c r="AG503" s="1"/>
  <c r="AG502"/>
  <c r="AF502"/>
  <c r="AF501"/>
  <c r="AG501" s="1"/>
  <c r="AG500"/>
  <c r="AF500"/>
  <c r="AF499"/>
  <c r="AG499" s="1"/>
  <c r="AG498"/>
  <c r="AF498"/>
  <c r="AF497"/>
  <c r="AG497" s="1"/>
  <c r="AG496"/>
  <c r="AF496"/>
  <c r="AF495"/>
  <c r="AG495" s="1"/>
  <c r="AG494"/>
  <c r="AF494"/>
  <c r="AF493"/>
  <c r="AG493" s="1"/>
  <c r="AG492"/>
  <c r="AF492"/>
  <c r="AF491"/>
  <c r="AG491" s="1"/>
  <c r="AG490"/>
  <c r="AF490"/>
  <c r="AF489"/>
  <c r="AG489" s="1"/>
  <c r="AG488"/>
  <c r="AF488"/>
  <c r="AF487"/>
  <c r="AG487" s="1"/>
  <c r="AG486"/>
  <c r="AF486"/>
  <c r="AF485"/>
  <c r="AG485" s="1"/>
  <c r="AG484"/>
  <c r="AF484"/>
  <c r="AF483"/>
  <c r="AG483" s="1"/>
  <c r="AG482"/>
  <c r="AF482"/>
  <c r="AF481"/>
  <c r="AG481" s="1"/>
  <c r="AG480"/>
  <c r="AF480"/>
  <c r="AF479"/>
  <c r="AG479" s="1"/>
  <c r="AG478"/>
  <c r="AF478"/>
  <c r="AF477"/>
  <c r="AG477" s="1"/>
  <c r="AG476"/>
  <c r="AF476"/>
  <c r="AF475"/>
  <c r="AG475" s="1"/>
  <c r="AG474"/>
  <c r="AF474"/>
  <c r="AF473"/>
  <c r="AG473" s="1"/>
  <c r="AG472"/>
  <c r="AF472"/>
  <c r="AF471"/>
  <c r="AG471" s="1"/>
  <c r="AG470"/>
  <c r="AF470"/>
  <c r="AF469"/>
  <c r="AG469" s="1"/>
  <c r="AG468"/>
  <c r="AF468"/>
  <c r="AF467"/>
  <c r="AG467" s="1"/>
  <c r="AG466"/>
  <c r="AF466"/>
  <c r="AF465"/>
  <c r="AG465" s="1"/>
  <c r="AG464"/>
  <c r="AF464"/>
  <c r="AF463"/>
  <c r="AG463" s="1"/>
  <c r="AG462"/>
  <c r="AF462"/>
  <c r="AF461"/>
  <c r="AG461" s="1"/>
  <c r="AG460"/>
  <c r="AF460"/>
  <c r="AF459"/>
  <c r="AG459" s="1"/>
  <c r="AG458"/>
  <c r="AF458"/>
  <c r="AF457"/>
  <c r="AG457" s="1"/>
  <c r="AG456"/>
  <c r="AF456"/>
  <c r="AF455"/>
  <c r="AG455" s="1"/>
  <c r="AG454"/>
  <c r="AF454"/>
  <c r="AF453"/>
  <c r="AG453" s="1"/>
  <c r="AG452"/>
  <c r="AF452"/>
  <c r="AF451"/>
  <c r="AG451" s="1"/>
  <c r="AG450"/>
  <c r="AF450"/>
  <c r="AF449"/>
  <c r="AG449" s="1"/>
  <c r="AG448"/>
  <c r="AF448"/>
  <c r="AF447"/>
  <c r="AG447" s="1"/>
  <c r="AG446"/>
  <c r="AF446"/>
  <c r="AF445"/>
  <c r="AG445" s="1"/>
  <c r="AG444"/>
  <c r="AF444"/>
  <c r="AF443"/>
  <c r="AG443" s="1"/>
  <c r="AG442"/>
  <c r="AF442"/>
  <c r="AF441"/>
  <c r="AG441" s="1"/>
  <c r="AG440"/>
  <c r="AF440"/>
  <c r="AF439"/>
  <c r="AG439" s="1"/>
  <c r="AG438"/>
  <c r="AF438"/>
  <c r="AF437"/>
  <c r="AG437" s="1"/>
  <c r="AG436"/>
  <c r="AF436"/>
  <c r="AF435"/>
  <c r="AG435" s="1"/>
  <c r="AG434"/>
  <c r="AF434"/>
  <c r="AF433"/>
  <c r="AG433" s="1"/>
  <c r="AG432"/>
  <c r="AF432"/>
  <c r="AF431"/>
  <c r="AG431" s="1"/>
  <c r="AG430"/>
  <c r="AF430"/>
  <c r="AF429"/>
  <c r="AG429" s="1"/>
  <c r="AG428"/>
  <c r="AF428"/>
  <c r="AF427"/>
  <c r="AG427" s="1"/>
  <c r="AG426"/>
  <c r="AF426"/>
  <c r="AF425"/>
  <c r="AG425" s="1"/>
  <c r="AG424"/>
  <c r="AF424"/>
  <c r="AF423"/>
  <c r="AG423" s="1"/>
  <c r="AG422"/>
  <c r="AF422"/>
  <c r="AF421"/>
  <c r="AG421" s="1"/>
  <c r="AG420"/>
  <c r="AF420"/>
  <c r="AF419"/>
  <c r="AG419" s="1"/>
  <c r="AG418"/>
  <c r="AF418"/>
  <c r="AF417"/>
  <c r="AG417" s="1"/>
  <c r="AG416"/>
  <c r="AF416"/>
  <c r="AF415"/>
  <c r="AG415" s="1"/>
  <c r="AF414"/>
  <c r="AF413"/>
  <c r="AF412"/>
  <c r="AF411"/>
  <c r="AF410"/>
  <c r="AF409"/>
  <c r="AF408"/>
  <c r="AG408" s="1"/>
  <c r="AG407"/>
  <c r="AF407"/>
  <c r="AF406"/>
  <c r="AG406" s="1"/>
  <c r="AG405"/>
  <c r="AF405"/>
  <c r="AF404"/>
  <c r="AG404" s="1"/>
  <c r="AG403"/>
  <c r="AF403"/>
  <c r="AF402"/>
  <c r="AG402" s="1"/>
  <c r="AG401"/>
  <c r="AF401"/>
  <c r="AF400"/>
  <c r="AG400" s="1"/>
  <c r="AG399"/>
  <c r="AF399"/>
  <c r="AF398"/>
  <c r="AG398" s="1"/>
  <c r="AG397"/>
  <c r="AF397"/>
  <c r="AF396"/>
  <c r="AG396" s="1"/>
  <c r="AG395"/>
  <c r="AF395"/>
  <c r="AF394"/>
  <c r="AG394" s="1"/>
  <c r="AG393"/>
  <c r="AF393"/>
  <c r="AF392"/>
  <c r="AG392" s="1"/>
  <c r="AG391"/>
  <c r="AF391"/>
  <c r="AF390"/>
  <c r="AG390" s="1"/>
  <c r="AG389"/>
  <c r="AF389"/>
  <c r="AF388"/>
  <c r="AG388" s="1"/>
  <c r="AG387"/>
  <c r="AF387"/>
  <c r="AF386"/>
  <c r="AF385"/>
  <c r="AF384"/>
  <c r="AF383"/>
  <c r="AF382"/>
  <c r="AF381"/>
  <c r="AG380"/>
  <c r="AF380"/>
  <c r="AF379"/>
  <c r="AG379" s="1"/>
  <c r="AG378"/>
  <c r="AF378"/>
  <c r="AF377"/>
  <c r="AG377" s="1"/>
  <c r="AG376"/>
  <c r="AF376"/>
  <c r="AF375"/>
  <c r="AG375" s="1"/>
  <c r="AG374"/>
  <c r="AF374"/>
  <c r="AF373"/>
  <c r="AG373" s="1"/>
  <c r="AG372"/>
  <c r="AF372"/>
  <c r="AF371"/>
  <c r="AG371" s="1"/>
  <c r="AG370"/>
  <c r="AF370"/>
  <c r="AF369"/>
  <c r="AG369" s="1"/>
  <c r="AF368"/>
  <c r="AF367"/>
  <c r="AG367" s="1"/>
  <c r="AF366"/>
  <c r="AF365"/>
  <c r="AF364"/>
  <c r="AF363"/>
  <c r="AG363" s="1"/>
  <c r="AG362"/>
  <c r="AF362"/>
  <c r="AF361"/>
  <c r="AG360"/>
  <c r="AF360"/>
  <c r="AF359"/>
  <c r="AF358"/>
  <c r="AF357"/>
  <c r="AG356"/>
  <c r="AF356"/>
  <c r="AF355"/>
  <c r="AG355" s="1"/>
  <c r="AG354"/>
  <c r="AF354"/>
  <c r="AF353"/>
  <c r="AG353" s="1"/>
  <c r="AG352"/>
  <c r="AF352"/>
  <c r="AF351"/>
  <c r="AG351" s="1"/>
  <c r="AG350"/>
  <c r="AF350"/>
  <c r="AF349"/>
  <c r="AG349" s="1"/>
  <c r="AG348"/>
  <c r="AF348"/>
  <c r="AF347"/>
  <c r="AG347" s="1"/>
  <c r="AG346"/>
  <c r="AF346"/>
  <c r="AF345"/>
  <c r="AG345" s="1"/>
  <c r="AG344"/>
  <c r="AF344"/>
  <c r="AF343"/>
  <c r="AG343" s="1"/>
  <c r="AG342"/>
  <c r="AF342"/>
  <c r="AF341"/>
  <c r="AG341" s="1"/>
  <c r="AG340"/>
  <c r="AF340"/>
  <c r="AF339"/>
  <c r="AG339" s="1"/>
  <c r="AG338"/>
  <c r="AF338"/>
  <c r="AF337"/>
  <c r="AG337" s="1"/>
  <c r="AG336"/>
  <c r="AF336"/>
  <c r="AF335"/>
  <c r="AG335" s="1"/>
  <c r="AG334"/>
  <c r="AF334"/>
  <c r="AF333"/>
  <c r="AG332"/>
  <c r="AF332"/>
  <c r="AF331"/>
  <c r="AF330"/>
  <c r="AF329"/>
  <c r="AG328"/>
  <c r="AF328"/>
  <c r="AF327"/>
  <c r="AG327" s="1"/>
  <c r="AG326"/>
  <c r="AF326"/>
  <c r="AF325"/>
  <c r="AG325" s="1"/>
  <c r="AG324"/>
  <c r="AF324"/>
  <c r="AF323"/>
  <c r="AG323" s="1"/>
  <c r="AG322"/>
  <c r="AF322"/>
  <c r="AF321"/>
  <c r="AG321" s="1"/>
  <c r="AG320"/>
  <c r="AF320"/>
  <c r="AF319"/>
  <c r="AG319" s="1"/>
  <c r="AG318"/>
  <c r="AF318"/>
  <c r="AF317"/>
  <c r="AF316"/>
  <c r="AF315"/>
  <c r="AF314"/>
  <c r="AF313"/>
  <c r="AG312"/>
  <c r="AF312"/>
  <c r="AF311"/>
  <c r="AG311" s="1"/>
  <c r="AG310"/>
  <c r="AF310"/>
  <c r="AF309"/>
  <c r="AG309" s="1"/>
  <c r="AG308"/>
  <c r="AF308"/>
  <c r="AF307"/>
  <c r="AG307" s="1"/>
  <c r="AG306"/>
  <c r="AF306"/>
  <c r="AF305"/>
  <c r="AG305" s="1"/>
  <c r="AG304"/>
  <c r="AF304"/>
  <c r="AF303"/>
  <c r="AG303" s="1"/>
  <c r="AG302"/>
  <c r="AF302"/>
  <c r="AF301"/>
  <c r="AG301" s="1"/>
  <c r="AG300"/>
  <c r="AF300"/>
  <c r="AF299"/>
  <c r="AG299" s="1"/>
  <c r="AG298"/>
  <c r="AF298"/>
  <c r="AF297"/>
  <c r="AG297" s="1"/>
  <c r="AG296"/>
  <c r="AF296"/>
  <c r="AF295"/>
  <c r="AG295" s="1"/>
  <c r="AG294"/>
  <c r="AF294"/>
  <c r="AF293"/>
  <c r="AG293" s="1"/>
  <c r="AG292"/>
  <c r="AF292"/>
  <c r="AF291"/>
  <c r="AG291" s="1"/>
  <c r="AG290"/>
  <c r="AF290"/>
  <c r="AF289"/>
  <c r="AG289" s="1"/>
  <c r="AF288"/>
  <c r="AF287"/>
  <c r="AF286"/>
  <c r="AF285"/>
  <c r="AF284"/>
  <c r="AF283"/>
  <c r="AF282"/>
  <c r="AG282" s="1"/>
  <c r="AG281"/>
  <c r="AF281"/>
  <c r="AF280"/>
  <c r="AG280" s="1"/>
  <c r="AG279"/>
  <c r="AF279"/>
  <c r="AF278"/>
  <c r="AG278" s="1"/>
  <c r="AG277"/>
  <c r="AF277"/>
  <c r="AF276"/>
  <c r="AG276" s="1"/>
  <c r="AG275"/>
  <c r="AF275"/>
  <c r="AF274"/>
  <c r="AG274" s="1"/>
  <c r="AG273"/>
  <c r="AF273"/>
  <c r="AF272"/>
  <c r="AG272" s="1"/>
  <c r="AG271"/>
  <c r="AF271"/>
  <c r="AF270"/>
  <c r="AG270" s="1"/>
  <c r="AG269"/>
  <c r="AF269"/>
  <c r="AF268"/>
  <c r="AG268" s="1"/>
  <c r="AG267"/>
  <c r="AF267"/>
  <c r="AF266"/>
  <c r="AG266" s="1"/>
  <c r="AG265"/>
  <c r="AF265"/>
  <c r="AF264"/>
  <c r="AG264" s="1"/>
  <c r="AG263"/>
  <c r="AF263"/>
  <c r="AF262"/>
  <c r="AG262" s="1"/>
  <c r="AG261"/>
  <c r="AF261"/>
  <c r="AF260"/>
  <c r="AG260" s="1"/>
  <c r="AG259"/>
  <c r="AF259"/>
  <c r="AF258"/>
  <c r="AG258" s="1"/>
  <c r="AG257"/>
  <c r="AF257"/>
  <c r="AF256"/>
  <c r="AG256" s="1"/>
  <c r="AG255"/>
  <c r="AF255"/>
  <c r="AF254"/>
  <c r="AG254" s="1"/>
  <c r="AG253"/>
  <c r="AF253"/>
  <c r="AF252"/>
  <c r="AG252" s="1"/>
  <c r="AG251"/>
  <c r="AF251"/>
  <c r="AF250"/>
  <c r="AG250" s="1"/>
  <c r="AG249"/>
  <c r="AF249"/>
  <c r="AF248"/>
  <c r="AG248" s="1"/>
  <c r="AG247"/>
  <c r="AF247"/>
  <c r="AF246"/>
  <c r="AF245"/>
  <c r="AF244"/>
  <c r="AF243"/>
  <c r="AF242"/>
  <c r="AF241"/>
  <c r="AG240"/>
  <c r="AF240"/>
  <c r="AF239"/>
  <c r="AG239" s="1"/>
  <c r="AG238"/>
  <c r="AF238"/>
  <c r="AF237"/>
  <c r="AG237" s="1"/>
  <c r="AG236"/>
  <c r="AF236"/>
  <c r="AF235"/>
  <c r="AG235" s="1"/>
  <c r="AG234"/>
  <c r="AF234"/>
  <c r="AF233"/>
  <c r="AG233" s="1"/>
  <c r="AG232"/>
  <c r="AF232"/>
  <c r="AF231"/>
  <c r="AG231" s="1"/>
  <c r="AG230"/>
  <c r="AF230"/>
  <c r="AF229"/>
  <c r="AG229" s="1"/>
  <c r="AG228"/>
  <c r="AF228"/>
  <c r="AF227"/>
  <c r="AG227" s="1"/>
  <c r="AG226"/>
  <c r="AF226"/>
  <c r="AF225"/>
  <c r="AG225" s="1"/>
  <c r="AG224"/>
  <c r="AF224"/>
  <c r="AF223"/>
  <c r="AG223" s="1"/>
  <c r="AG222"/>
  <c r="AF222"/>
  <c r="AF221"/>
  <c r="AG221" s="1"/>
  <c r="AG220"/>
  <c r="AF220"/>
  <c r="AF219"/>
  <c r="AG219" s="1"/>
  <c r="AG218"/>
  <c r="AF218"/>
  <c r="AF217"/>
  <c r="AG217" s="1"/>
  <c r="AG216"/>
  <c r="AF216"/>
  <c r="AF215"/>
  <c r="AG215" s="1"/>
  <c r="AG214"/>
  <c r="AF214"/>
  <c r="AF213"/>
  <c r="AG213" s="1"/>
  <c r="AG212"/>
  <c r="AF212"/>
  <c r="AF211"/>
  <c r="AG211" s="1"/>
  <c r="AG210"/>
  <c r="AF210"/>
  <c r="AF209"/>
  <c r="AG209" s="1"/>
  <c r="AG208"/>
  <c r="AF208"/>
  <c r="AF207"/>
  <c r="AG207" s="1"/>
  <c r="AG206"/>
  <c r="AF206"/>
  <c r="AF205"/>
  <c r="AG205" s="1"/>
  <c r="AG204"/>
  <c r="AF204"/>
  <c r="AF203"/>
  <c r="AG203" s="1"/>
  <c r="AG202"/>
  <c r="AF202"/>
  <c r="AF201"/>
  <c r="AG201" s="1"/>
  <c r="AG200"/>
  <c r="AF200"/>
  <c r="AF199"/>
  <c r="AG199" s="1"/>
  <c r="AG198"/>
  <c r="AF198"/>
  <c r="AF197"/>
  <c r="AG197" s="1"/>
  <c r="AG196"/>
  <c r="AF196"/>
  <c r="AF195"/>
  <c r="AG195" s="1"/>
  <c r="AG194"/>
  <c r="AF194"/>
  <c r="AF193"/>
  <c r="AG193" s="1"/>
  <c r="AG192"/>
  <c r="AF192"/>
  <c r="AF191"/>
  <c r="AG191" s="1"/>
  <c r="AG190"/>
  <c r="AF190"/>
  <c r="AF189"/>
  <c r="AG189" s="1"/>
  <c r="AG188"/>
  <c r="AF188"/>
  <c r="AF187"/>
  <c r="AF186"/>
  <c r="AG185"/>
  <c r="AF185"/>
  <c r="AF184"/>
  <c r="AF183"/>
  <c r="AG183" s="1"/>
  <c r="AG182"/>
  <c r="AF182"/>
  <c r="AF181"/>
  <c r="AG181" s="1"/>
  <c r="AG180"/>
  <c r="AF180"/>
  <c r="AF179"/>
  <c r="AG179" s="1"/>
  <c r="AG178"/>
  <c r="AF178"/>
  <c r="AF177"/>
  <c r="AG177" s="1"/>
  <c r="AG176"/>
  <c r="AF176"/>
  <c r="AF175"/>
  <c r="AG175" s="1"/>
  <c r="AG174"/>
  <c r="AF174"/>
  <c r="AF173"/>
  <c r="AG173" s="1"/>
  <c r="AG172"/>
  <c r="AF172"/>
  <c r="AF171"/>
  <c r="AG171" s="1"/>
  <c r="AG170"/>
  <c r="AF170"/>
  <c r="AF169"/>
  <c r="AG169" s="1"/>
  <c r="AG168"/>
  <c r="AF168"/>
  <c r="AF167"/>
  <c r="AG167" s="1"/>
  <c r="AG166"/>
  <c r="AF166"/>
  <c r="AF165"/>
  <c r="AG165" s="1"/>
  <c r="AG164"/>
  <c r="AF164"/>
  <c r="AF163"/>
  <c r="AG163" s="1"/>
  <c r="AG162"/>
  <c r="AF162"/>
  <c r="AF161"/>
  <c r="AG161" s="1"/>
  <c r="AG160"/>
  <c r="AF160"/>
  <c r="AF159"/>
  <c r="AG159" s="1"/>
  <c r="AG158"/>
  <c r="AF158"/>
  <c r="AF157"/>
  <c r="AG157" s="1"/>
  <c r="AG156"/>
  <c r="AF156"/>
  <c r="AF155"/>
  <c r="AG155" s="1"/>
  <c r="AG154"/>
  <c r="AF154"/>
  <c r="AF153"/>
  <c r="AG153" s="1"/>
  <c r="AG152"/>
  <c r="AF152"/>
  <c r="AF151"/>
  <c r="AG151" s="1"/>
  <c r="AG150"/>
  <c r="AF150"/>
  <c r="AF149"/>
  <c r="AG149" s="1"/>
  <c r="AF148"/>
  <c r="AF147"/>
  <c r="AF146"/>
  <c r="AF145"/>
  <c r="AF144"/>
  <c r="AF143"/>
  <c r="AF142"/>
  <c r="AG142" s="1"/>
  <c r="AG141"/>
  <c r="AF141"/>
  <c r="AF140"/>
  <c r="AG140" s="1"/>
  <c r="AG139"/>
  <c r="AF139"/>
  <c r="AF138"/>
  <c r="AG138" s="1"/>
  <c r="AG137"/>
  <c r="AF137"/>
  <c r="AF136"/>
  <c r="AG136" s="1"/>
  <c r="AG135"/>
  <c r="AF135"/>
  <c r="AF134"/>
  <c r="AG134" s="1"/>
  <c r="AG133"/>
  <c r="AF133"/>
  <c r="AF132"/>
  <c r="AG132" s="1"/>
  <c r="AG131"/>
  <c r="AF131"/>
  <c r="AF130"/>
  <c r="AG130" s="1"/>
  <c r="AG129"/>
  <c r="AF129"/>
  <c r="AF128"/>
  <c r="AG128" s="1"/>
  <c r="AG127"/>
  <c r="AF127"/>
  <c r="AF126"/>
  <c r="AG126" s="1"/>
  <c r="AG125"/>
  <c r="AF125"/>
  <c r="AF124"/>
  <c r="AG124" s="1"/>
  <c r="AG123"/>
  <c r="AF123"/>
  <c r="AF122"/>
  <c r="AG122" s="1"/>
  <c r="AG121"/>
  <c r="AF121"/>
  <c r="AF120"/>
  <c r="AG120" s="1"/>
  <c r="AG119"/>
  <c r="AF119"/>
  <c r="AF118"/>
  <c r="AG118" s="1"/>
  <c r="AG117"/>
  <c r="AF117"/>
  <c r="AF116"/>
  <c r="AG116" s="1"/>
  <c r="AG115"/>
  <c r="AF115"/>
  <c r="AF114"/>
  <c r="AG114" s="1"/>
  <c r="AG113"/>
  <c r="AF113"/>
  <c r="AF112"/>
  <c r="AG112" s="1"/>
  <c r="AG111"/>
  <c r="AF111"/>
  <c r="AF110"/>
  <c r="AG110" s="1"/>
  <c r="AG109"/>
  <c r="AF109"/>
  <c r="AF108"/>
  <c r="AG108" s="1"/>
  <c r="AG107"/>
  <c r="AF107"/>
  <c r="AF106"/>
  <c r="AG106" s="1"/>
  <c r="AG105"/>
  <c r="AF105"/>
  <c r="AF104"/>
  <c r="AG104" s="1"/>
  <c r="AG103"/>
  <c r="AF103"/>
  <c r="AF102"/>
  <c r="AG102" s="1"/>
  <c r="AG101"/>
  <c r="AF101"/>
  <c r="AF100"/>
  <c r="AG100" s="1"/>
  <c r="AG99"/>
  <c r="AF99"/>
  <c r="AF98"/>
  <c r="AG98" s="1"/>
  <c r="AG97"/>
  <c r="AF97"/>
  <c r="AF96"/>
  <c r="AG96" s="1"/>
  <c r="AG95"/>
  <c r="AF95"/>
  <c r="AF94"/>
  <c r="AG94" s="1"/>
  <c r="AG93"/>
  <c r="AF93"/>
  <c r="AF92"/>
  <c r="AG92" s="1"/>
  <c r="AG91"/>
  <c r="AF91"/>
  <c r="AF90"/>
  <c r="AG90" s="1"/>
  <c r="AG89"/>
  <c r="AF89"/>
  <c r="AF88"/>
  <c r="AG88" s="1"/>
  <c r="AG87"/>
  <c r="AF87"/>
  <c r="AF86"/>
  <c r="AG86" s="1"/>
  <c r="AG85"/>
  <c r="AF85"/>
  <c r="AF84"/>
  <c r="AG84" s="1"/>
  <c r="AG83"/>
  <c r="AF83"/>
  <c r="AF82"/>
  <c r="AG82" s="1"/>
  <c r="AG81"/>
  <c r="AF81"/>
  <c r="AF80"/>
  <c r="AG80" s="1"/>
  <c r="AG79"/>
  <c r="AF79"/>
  <c r="AF78"/>
  <c r="AG78" s="1"/>
  <c r="AG77"/>
  <c r="AF77"/>
  <c r="AF76"/>
  <c r="AG76" s="1"/>
  <c r="AG75"/>
  <c r="AF75"/>
  <c r="AF74"/>
  <c r="AG74" s="1"/>
  <c r="AG73"/>
  <c r="AF73"/>
  <c r="AF72"/>
  <c r="AG72" s="1"/>
  <c r="AG71"/>
  <c r="AF71"/>
  <c r="AF70"/>
  <c r="AG70" s="1"/>
  <c r="AG69"/>
  <c r="AF69"/>
  <c r="AF68"/>
  <c r="AG68" s="1"/>
  <c r="AG67"/>
  <c r="AF67"/>
  <c r="AF66"/>
  <c r="AG66" s="1"/>
  <c r="AG65"/>
  <c r="AF65"/>
  <c r="AF64"/>
  <c r="AG64" s="1"/>
  <c r="AG63"/>
  <c r="AF63"/>
  <c r="AF62"/>
  <c r="AG62" s="1"/>
  <c r="AG61"/>
  <c r="AF61"/>
  <c r="AF60"/>
  <c r="AG60" s="1"/>
  <c r="AG59"/>
  <c r="AF59"/>
  <c r="AF58"/>
  <c r="AG58" s="1"/>
  <c r="AG57"/>
  <c r="AF57"/>
  <c r="AF56"/>
  <c r="AG56" s="1"/>
  <c r="AG55"/>
  <c r="AF55"/>
  <c r="AF54"/>
  <c r="AG54" s="1"/>
  <c r="AG53"/>
  <c r="AF53"/>
  <c r="AF52"/>
  <c r="AG52" s="1"/>
  <c r="AG51"/>
  <c r="AF51"/>
  <c r="AF50"/>
  <c r="AF49"/>
  <c r="AF48"/>
  <c r="AF47"/>
  <c r="AF46"/>
  <c r="AF45"/>
  <c r="AG44"/>
  <c r="AF44"/>
  <c r="AF43"/>
  <c r="AG43" s="1"/>
  <c r="AG42"/>
  <c r="AF42"/>
  <c r="AF41"/>
  <c r="AG41" s="1"/>
  <c r="AF40"/>
  <c r="AG40" s="1"/>
  <c r="AG39"/>
  <c r="AF39"/>
  <c r="AF38"/>
  <c r="AG38" s="1"/>
  <c r="AG37"/>
  <c r="AF37"/>
  <c r="AF36"/>
  <c r="AG36" s="1"/>
  <c r="AG35"/>
  <c r="AF35"/>
  <c r="AF34"/>
  <c r="AG34" s="1"/>
  <c r="AG33"/>
  <c r="AF33"/>
  <c r="AF32"/>
  <c r="AG32" s="1"/>
  <c r="AG31"/>
  <c r="AF31"/>
  <c r="AF30"/>
  <c r="AG30" s="1"/>
  <c r="A30"/>
  <c r="A31" s="1"/>
  <c r="AF29"/>
  <c r="AG29" s="1"/>
  <c r="AG28"/>
  <c r="AF28"/>
  <c r="AF27"/>
  <c r="AG27" s="1"/>
  <c r="AG26"/>
  <c r="AF26"/>
  <c r="P26"/>
  <c r="AG25"/>
  <c r="AF25"/>
  <c r="P25"/>
  <c r="AF24"/>
  <c r="AG24" s="1"/>
  <c r="AF23"/>
  <c r="AG23" s="1"/>
  <c r="AB23"/>
  <c r="AF22"/>
  <c r="AB22"/>
  <c r="AF21"/>
  <c r="AB21"/>
  <c r="AF20"/>
  <c r="AB20"/>
  <c r="P20"/>
  <c r="AF19"/>
  <c r="AB19"/>
  <c r="P19"/>
  <c r="AF18"/>
  <c r="AB18"/>
  <c r="P18"/>
  <c r="AF17"/>
  <c r="AB17"/>
  <c r="AG16"/>
  <c r="AF16"/>
  <c r="AB16"/>
  <c r="AG15"/>
  <c r="AF15"/>
  <c r="AB15"/>
  <c r="P15"/>
  <c r="A15"/>
  <c r="AG14"/>
  <c r="AF14"/>
  <c r="AB14"/>
  <c r="AG13"/>
  <c r="AF13"/>
  <c r="AB13"/>
  <c r="B13"/>
  <c r="E14" s="1"/>
  <c r="AG12"/>
  <c r="AF12"/>
  <c r="AB12"/>
  <c r="AG11"/>
  <c r="AF11"/>
  <c r="AB11"/>
  <c r="AG10"/>
  <c r="AF10"/>
  <c r="AB10"/>
  <c r="P10"/>
  <c r="AG9"/>
  <c r="AF9"/>
  <c r="AB9"/>
  <c r="AF8"/>
  <c r="AG8" s="1"/>
  <c r="AB8"/>
  <c r="AG7"/>
  <c r="AF7"/>
  <c r="AB7"/>
  <c r="AF6"/>
  <c r="AG6" s="1"/>
  <c r="AB6"/>
  <c r="P6"/>
  <c r="E6"/>
  <c r="AG5"/>
  <c r="AF5"/>
  <c r="AB5"/>
  <c r="P5"/>
  <c r="E5"/>
  <c r="AI4"/>
  <c r="AF4"/>
  <c r="AG4" s="1"/>
  <c r="AB4"/>
  <c r="P4"/>
  <c r="P3"/>
  <c r="P37" l="1"/>
  <c r="B16"/>
  <c r="A41" s="1"/>
  <c r="C14" l="1"/>
  <c r="B8"/>
  <c r="E8" s="1"/>
  <c r="E24" s="1"/>
  <c r="B12" s="1"/>
  <c r="B17"/>
  <c r="B36" s="1"/>
</calcChain>
</file>

<file path=xl/sharedStrings.xml><?xml version="1.0" encoding="utf-8"?>
<sst xmlns="http://schemas.openxmlformats.org/spreadsheetml/2006/main" count="1059" uniqueCount="77">
  <si>
    <t>Initial</t>
  </si>
  <si>
    <t>YES</t>
  </si>
  <si>
    <t>Checking Acct</t>
  </si>
  <si>
    <t>Cash</t>
  </si>
  <si>
    <t>Subsequent</t>
  </si>
  <si>
    <t>NO</t>
  </si>
  <si>
    <t>Mutual Fund</t>
  </si>
  <si>
    <t>Transfer</t>
  </si>
  <si>
    <t>Close</t>
  </si>
  <si>
    <t>day of week</t>
  </si>
  <si>
    <t>Fund</t>
  </si>
  <si>
    <t>Holidays</t>
  </si>
  <si>
    <t>PAYOFF LENDER MATCHES UNIFI:</t>
  </si>
  <si>
    <t>N/A</t>
  </si>
  <si>
    <t>Retirement</t>
  </si>
  <si>
    <t>Gift</t>
  </si>
  <si>
    <t>SERVICING LENDER:</t>
  </si>
  <si>
    <t>Savings Acct</t>
  </si>
  <si>
    <t>Check</t>
  </si>
  <si>
    <t>PROPERTY ADDRESS:</t>
  </si>
  <si>
    <t>Unfi:</t>
  </si>
  <si>
    <t>Payoff:</t>
  </si>
  <si>
    <t>OWNER OF RECORD MATCHES UNIFI:</t>
  </si>
  <si>
    <t>DOES THE PAYOFF EXPIRE PRIOR TO CLOSING:</t>
  </si>
  <si>
    <t>Stock</t>
  </si>
  <si>
    <t>IS MORE THAN 30 DAYS OF PER DIEM REQUIRED:</t>
  </si>
  <si>
    <t>IS THE NEXT PAYMENT DUE PRIOR TO THE GOOD THROUGH DATE:</t>
  </si>
  <si>
    <t>PAYOFF AMOUNT:</t>
  </si>
  <si>
    <t>CALCULATED PAYOFF AMOUNT:</t>
  </si>
  <si>
    <t>PAYOFF STATUS:</t>
  </si>
  <si>
    <t>CLOSING DATE:</t>
  </si>
  <si>
    <t>GOOD THROUGH DATE:</t>
  </si>
  <si>
    <t>PER DIEM DAYS TO BE ADDED:</t>
  </si>
  <si>
    <t>TOTAL CALCULATED PAYOFF:</t>
  </si>
  <si>
    <t>TYPE OF REVIEW:</t>
  </si>
  <si>
    <t>DATE PAYOFF ORDERED:</t>
  </si>
  <si>
    <t>FUNDING DATE + 5:</t>
  </si>
  <si>
    <t>DIFFERENCE:</t>
  </si>
  <si>
    <t>INV FUNDING DATE + 5:</t>
  </si>
  <si>
    <t>INV INDICATOR:</t>
  </si>
  <si>
    <t>FHA INDICATOR:</t>
  </si>
  <si>
    <t>Borrowers Authorization</t>
  </si>
  <si>
    <t>NC HELOC</t>
  </si>
  <si>
    <t>Loan Number</t>
  </si>
  <si>
    <t>Bank Phone Number</t>
  </si>
  <si>
    <t>Website Order Required</t>
  </si>
  <si>
    <t>Already Ordered</t>
  </si>
  <si>
    <t>Loan Denied</t>
  </si>
  <si>
    <t>Loan In Closing</t>
  </si>
  <si>
    <t>3rd Party Request Unavailable</t>
  </si>
  <si>
    <t>Private Loan</t>
  </si>
  <si>
    <t>a</t>
  </si>
  <si>
    <t>sun</t>
  </si>
  <si>
    <t>mon</t>
  </si>
  <si>
    <t>Tue</t>
  </si>
  <si>
    <t>Wed</t>
  </si>
  <si>
    <t>Thu</t>
  </si>
  <si>
    <t>Fri</t>
  </si>
  <si>
    <t>Sat</t>
  </si>
  <si>
    <t>Yes</t>
  </si>
  <si>
    <t>SECOND HOME FUNDING DATE:</t>
  </si>
  <si>
    <t>NEXT PAYMENT DUE DATE</t>
  </si>
  <si>
    <t>GRACE PERIOD END DATE</t>
  </si>
  <si>
    <t>LATE FEE AMOUNT</t>
  </si>
  <si>
    <t>LATE FEE TO BE ADDED?</t>
  </si>
  <si>
    <t>FINAL PAYOFF AMOUNT:</t>
  </si>
  <si>
    <t>LATE FEE ALREADY ADDED:</t>
  </si>
  <si>
    <t>DIFFERENCE (NEXT PYMT)</t>
  </si>
  <si>
    <t>CALCULATED GOOD THRU DATE:</t>
  </si>
  <si>
    <t>HAWAII VENDOR?</t>
  </si>
  <si>
    <t>hi vendor Fund</t>
  </si>
  <si>
    <r>
      <rPr>
        <b/>
        <sz val="13"/>
        <color rgb="FF000000"/>
        <rFont val="Georgia"/>
        <family val="1"/>
      </rPr>
      <t>Helpful Information:</t>
    </r>
    <r>
      <rPr>
        <sz val="11"/>
        <color rgb="FF000000"/>
        <rFont val="Georgia"/>
        <family val="1"/>
      </rPr>
      <t xml:space="preserve">
1. In order for the payoff calculator results to generate, all applicable fields must be filled out entirely.
2. “</t>
    </r>
    <r>
      <rPr>
        <b/>
        <sz val="11"/>
        <color rgb="FF000000"/>
        <rFont val="Georgia"/>
        <family val="1"/>
      </rPr>
      <t>Date payoff generated</t>
    </r>
    <r>
      <rPr>
        <sz val="11"/>
        <color rgb="FF000000"/>
        <rFont val="Georgia"/>
        <family val="1"/>
      </rPr>
      <t>” corresponds to the date that the current loan servicer issued the payoff statement.
3. When the “</t>
    </r>
    <r>
      <rPr>
        <b/>
        <sz val="11"/>
        <color rgb="FF000000"/>
        <rFont val="Georgia"/>
        <family val="1"/>
      </rPr>
      <t>Closing Date</t>
    </r>
    <r>
      <rPr>
        <sz val="11"/>
        <color rgb="FF000000"/>
        <rFont val="Georgia"/>
        <family val="1"/>
      </rPr>
      <t>” field is entered, the “</t>
    </r>
    <r>
      <rPr>
        <b/>
        <sz val="11"/>
        <color rgb="FF000000"/>
        <rFont val="Georgia"/>
        <family val="1"/>
      </rPr>
      <t>Funding Date</t>
    </r>
    <r>
      <rPr>
        <sz val="11"/>
        <color rgb="FF000000"/>
        <rFont val="Georgia"/>
        <family val="1"/>
      </rPr>
      <t xml:space="preserve">” field will </t>
    </r>
    <r>
      <rPr>
        <i/>
        <sz val="11"/>
        <color rgb="FF000000"/>
        <rFont val="Georgia"/>
        <family val="1"/>
      </rPr>
      <t>automatically</t>
    </r>
    <r>
      <rPr>
        <sz val="11"/>
        <color rgb="FF000000"/>
        <rFont val="Georgia"/>
        <family val="1"/>
      </rPr>
      <t xml:space="preserve"> calculate.
4. If the loan closing has an unusual circumstance (i.e. mail away, short pay), it is necessary to manually update the “</t>
    </r>
    <r>
      <rPr>
        <b/>
        <sz val="11"/>
        <color rgb="FF000000"/>
        <rFont val="Georgia"/>
        <family val="1"/>
      </rPr>
      <t>Funding Date</t>
    </r>
    <r>
      <rPr>
        <sz val="11"/>
        <color rgb="FF000000"/>
        <rFont val="Georgia"/>
        <family val="1"/>
      </rPr>
      <t xml:space="preserve">” field so that all other fields update accordingly.
5. For FHA loans, pay close attention to how interest is charged (monthly vs. daily) on the payoff statement, as this impacts the payoff calculation. 
*** For FHA loans that closed </t>
    </r>
    <r>
      <rPr>
        <b/>
        <i/>
        <sz val="11"/>
        <color rgb="FF000000"/>
        <rFont val="Georgia"/>
        <family val="1"/>
      </rPr>
      <t>before</t>
    </r>
    <r>
      <rPr>
        <sz val="11"/>
        <color rgb="FF000000"/>
        <rFont val="Georgia"/>
        <family val="1"/>
      </rPr>
      <t xml:space="preserve"> January 21, 2015, FHA can charge interest for the entire month. 
*** For FHA loans that closed </t>
    </r>
    <r>
      <rPr>
        <b/>
        <i/>
        <sz val="11"/>
        <color rgb="FF000000"/>
        <rFont val="Georgia"/>
        <family val="1"/>
      </rPr>
      <t>on or after</t>
    </r>
    <r>
      <rPr>
        <sz val="11"/>
        <color rgb="FF000000"/>
        <rFont val="Georgia"/>
        <family val="1"/>
      </rPr>
      <t xml:space="preserve"> January 21, 2015, FHA can only charge interest on a daily basis and can no longer charge interest for the entire month.
</t>
    </r>
  </si>
  <si>
    <t>ALL MACROS MUST BE ENABLED FOR THIS TOOL TO WORK PROPERLY!</t>
  </si>
  <si>
    <t>Instructions to enable macros:</t>
  </si>
  <si>
    <t>1. Click on the 'Options…' button on the 'Security Warning' notification above. See below:</t>
  </si>
  <si>
    <t>2. Select the 'Enable this content' option from the Security Alert pop-up and click 'OK'. See below:</t>
  </si>
  <si>
    <t>Check this box if the loan is a Hawaii vendor loan 
(i.e. loan is not closing with a local Hawaii title company)</t>
  </si>
</sst>
</file>

<file path=xl/styles.xml><?xml version="1.0" encoding="utf-8"?>
<styleSheet xmlns="http://schemas.openxmlformats.org/spreadsheetml/2006/main">
  <numFmts count="3">
    <numFmt numFmtId="8" formatCode="&quot;$&quot;#,##0.00_);[Red]\(&quot;$&quot;#,##0.00\)"/>
    <numFmt numFmtId="44" formatCode="_(&quot;$&quot;* #,##0.00_);_(&quot;$&quot;* \(#,##0.00\);_(&quot;$&quot;* &quot;-&quot;??_);_(@_)"/>
    <numFmt numFmtId="164" formatCode="&quot;$&quot;#,##0.00"/>
  </numFmts>
  <fonts count="18">
    <font>
      <sz val="11"/>
      <color theme="1"/>
      <name val="Calibri"/>
      <family val="2"/>
      <scheme val="minor"/>
    </font>
    <font>
      <sz val="11"/>
      <color theme="1"/>
      <name val="Calibri"/>
      <family val="2"/>
      <scheme val="minor"/>
    </font>
    <font>
      <u/>
      <sz val="10"/>
      <color indexed="12"/>
      <name val="Arial"/>
      <family val="2"/>
    </font>
    <font>
      <u/>
      <sz val="11"/>
      <color theme="10"/>
      <name val="Calibri"/>
      <family val="2"/>
    </font>
    <font>
      <sz val="10"/>
      <name val="Arial"/>
      <family val="2"/>
    </font>
    <font>
      <sz val="11"/>
      <color theme="0"/>
      <name val="Calibri"/>
      <family val="2"/>
      <scheme val="minor"/>
    </font>
    <font>
      <sz val="24"/>
      <color theme="0"/>
      <name val="Calibri"/>
      <family val="2"/>
      <scheme val="minor"/>
    </font>
    <font>
      <sz val="11"/>
      <color rgb="FF000000"/>
      <name val="Georgia"/>
      <family val="1"/>
    </font>
    <font>
      <b/>
      <sz val="13"/>
      <color rgb="FF000000"/>
      <name val="Georgia"/>
      <family val="1"/>
    </font>
    <font>
      <b/>
      <sz val="11"/>
      <color rgb="FF000000"/>
      <name val="Georgia"/>
      <family val="1"/>
    </font>
    <font>
      <i/>
      <sz val="11"/>
      <color rgb="FF000000"/>
      <name val="Georgia"/>
      <family val="1"/>
    </font>
    <font>
      <b/>
      <i/>
      <sz val="11"/>
      <color rgb="FF000000"/>
      <name val="Georgia"/>
      <family val="1"/>
    </font>
    <font>
      <b/>
      <sz val="24"/>
      <color theme="1"/>
      <name val="Calibri"/>
      <family val="2"/>
      <scheme val="minor"/>
    </font>
    <font>
      <b/>
      <sz val="12"/>
      <color theme="1"/>
      <name val="Calibri"/>
      <family val="2"/>
      <scheme val="minor"/>
    </font>
    <font>
      <sz val="11"/>
      <name val="Calibri"/>
      <family val="2"/>
    </font>
    <font>
      <b/>
      <sz val="16"/>
      <color rgb="FF000000"/>
      <name val="Calibri"/>
      <family val="2"/>
      <scheme val="minor"/>
    </font>
    <font>
      <b/>
      <sz val="11"/>
      <color theme="0"/>
      <name val="Calibri"/>
      <family val="2"/>
      <scheme val="minor"/>
    </font>
    <font>
      <b/>
      <sz val="11"/>
      <color rgb="FFFF0000"/>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4">
    <xf numFmtId="0" fontId="0" fillId="0" borderId="0"/>
    <xf numFmtId="44" fontId="1" fillId="0" borderId="0" applyFont="0" applyFill="0" applyBorder="0" applyAlignment="0" applyProtection="0"/>
    <xf numFmtId="0" fontId="2"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4"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4" fillId="0" borderId="0"/>
    <xf numFmtId="0" fontId="14" fillId="0" borderId="0"/>
  </cellStyleXfs>
  <cellXfs count="22">
    <xf numFmtId="0" fontId="0" fillId="0" borderId="0" xfId="0"/>
    <xf numFmtId="0" fontId="7" fillId="0" borderId="0" xfId="0" applyFont="1" applyAlignment="1">
      <alignment horizontal="left" indent="5"/>
    </xf>
    <xf numFmtId="0" fontId="7" fillId="0" borderId="0" xfId="0" applyFont="1" applyAlignment="1">
      <alignment horizontal="left" vertical="top" wrapText="1"/>
    </xf>
    <xf numFmtId="0" fontId="12" fillId="2" borderId="0" xfId="11" applyFont="1" applyFill="1"/>
    <xf numFmtId="0" fontId="1" fillId="2" borderId="0" xfId="11" applyFill="1"/>
    <xf numFmtId="0" fontId="13" fillId="2" borderId="0" xfId="11" applyFont="1" applyFill="1"/>
    <xf numFmtId="0" fontId="1" fillId="0" borderId="0" xfId="11"/>
    <xf numFmtId="0" fontId="17" fillId="2" borderId="0" xfId="0" applyFont="1" applyFill="1" applyAlignment="1" applyProtection="1">
      <alignment wrapText="1"/>
    </xf>
    <xf numFmtId="0" fontId="6" fillId="2" borderId="0" xfId="0" applyFont="1" applyFill="1" applyAlignment="1" applyProtection="1">
      <alignment horizontal="center"/>
    </xf>
    <xf numFmtId="0" fontId="5" fillId="2" borderId="0" xfId="0" applyFont="1" applyFill="1" applyAlignment="1" applyProtection="1">
      <alignment horizontal="center"/>
    </xf>
    <xf numFmtId="0" fontId="5" fillId="2" borderId="0" xfId="0" applyFont="1" applyFill="1" applyProtection="1"/>
    <xf numFmtId="14" fontId="5" fillId="2" borderId="0" xfId="0" applyNumberFormat="1" applyFont="1" applyFill="1" applyProtection="1"/>
    <xf numFmtId="1" fontId="5" fillId="2" borderId="0" xfId="0" applyNumberFormat="1" applyFont="1" applyFill="1" applyProtection="1"/>
    <xf numFmtId="0" fontId="5" fillId="2" borderId="0" xfId="0" applyFont="1" applyFill="1" applyProtection="1">
      <protection locked="0"/>
    </xf>
    <xf numFmtId="0" fontId="16" fillId="2" borderId="0" xfId="0" applyFont="1" applyFill="1" applyProtection="1">
      <protection locked="0"/>
    </xf>
    <xf numFmtId="8" fontId="5" fillId="2" borderId="0" xfId="0" applyNumberFormat="1" applyFont="1" applyFill="1" applyProtection="1">
      <protection locked="0"/>
    </xf>
    <xf numFmtId="14" fontId="5" fillId="2" borderId="0" xfId="0" applyNumberFormat="1" applyFont="1" applyFill="1" applyProtection="1">
      <protection locked="0"/>
    </xf>
    <xf numFmtId="164" fontId="5" fillId="2" borderId="0" xfId="0" applyNumberFormat="1" applyFont="1" applyFill="1" applyProtection="1">
      <protection locked="0"/>
    </xf>
    <xf numFmtId="164" fontId="5" fillId="2" borderId="0" xfId="0" applyNumberFormat="1" applyFont="1" applyFill="1" applyProtection="1"/>
    <xf numFmtId="0" fontId="5" fillId="2" borderId="0" xfId="0" applyFont="1" applyFill="1" applyAlignment="1" applyProtection="1"/>
    <xf numFmtId="0" fontId="5" fillId="2" borderId="0" xfId="0" applyFont="1" applyFill="1"/>
    <xf numFmtId="14" fontId="5" fillId="2" borderId="0" xfId="0" applyNumberFormat="1" applyFont="1" applyFill="1"/>
  </cellXfs>
  <cellStyles count="14">
    <cellStyle name="Currency 2" xfId="1"/>
    <cellStyle name="Hyperlink 2" xfId="2"/>
    <cellStyle name="Hyperlink 3" xfId="3"/>
    <cellStyle name="Normal" xfId="0" builtinId="0"/>
    <cellStyle name="Normal 11" xfId="4"/>
    <cellStyle name="Normal 2" xfId="5"/>
    <cellStyle name="Normal 2 2" xfId="6"/>
    <cellStyle name="Normal 2 2 2" xfId="12"/>
    <cellStyle name="Normal 2 3" xfId="7"/>
    <cellStyle name="Normal 2 3 2" xfId="13"/>
    <cellStyle name="Normal 3" xfId="8"/>
    <cellStyle name="Normal 3 2" xfId="11"/>
    <cellStyle name="Normal 4" xfId="9"/>
    <cellStyle name="Normal 4 2" xfId="1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514350</xdr:colOff>
      <xdr:row>0</xdr:row>
      <xdr:rowOff>0</xdr:rowOff>
    </xdr:from>
    <xdr:to>
      <xdr:col>5</xdr:col>
      <xdr:colOff>304800</xdr:colOff>
      <xdr:row>11</xdr:row>
      <xdr:rowOff>133350</xdr:rowOff>
    </xdr:to>
    <xdr:pic>
      <xdr:nvPicPr>
        <xdr:cNvPr id="2" name="Picture 1" descr="http://kernel-panic.undeletemac.org/files/2014/03/error-300x300.png"/>
        <xdr:cNvPicPr>
          <a:picLocks noChangeAspect="1" noChangeArrowheads="1"/>
        </xdr:cNvPicPr>
      </xdr:nvPicPr>
      <xdr:blipFill>
        <a:blip xmlns:r="http://schemas.openxmlformats.org/officeDocument/2006/relationships" r:embed="rId1" cstate="print"/>
        <a:srcRect/>
        <a:stretch>
          <a:fillRect/>
        </a:stretch>
      </xdr:blipFill>
      <xdr:spPr bwMode="auto">
        <a:xfrm>
          <a:off x="1200150" y="0"/>
          <a:ext cx="2533650" cy="2228850"/>
        </a:xfrm>
        <a:prstGeom prst="rect">
          <a:avLst/>
        </a:prstGeom>
        <a:noFill/>
      </xdr:spPr>
    </xdr:pic>
    <xdr:clientData/>
  </xdr:twoCellAnchor>
  <xdr:twoCellAnchor editAs="oneCell">
    <xdr:from>
      <xdr:col>2</xdr:col>
      <xdr:colOff>0</xdr:colOff>
      <xdr:row>15</xdr:row>
      <xdr:rowOff>38100</xdr:rowOff>
    </xdr:from>
    <xdr:to>
      <xdr:col>9</xdr:col>
      <xdr:colOff>485775</xdr:colOff>
      <xdr:row>17</xdr:row>
      <xdr:rowOff>133350</xdr:rowOff>
    </xdr:to>
    <xdr:pic>
      <xdr:nvPicPr>
        <xdr:cNvPr id="3" name="Picture 2" descr="C:\Users\plh3440\AppData\Local\Temp\SNAGHTML1c35c99.PNG"/>
        <xdr:cNvPicPr>
          <a:picLocks noChangeAspect="1" noChangeArrowheads="1"/>
        </xdr:cNvPicPr>
      </xdr:nvPicPr>
      <xdr:blipFill>
        <a:blip xmlns:r="http://schemas.openxmlformats.org/officeDocument/2006/relationships" r:embed="rId2" cstate="print"/>
        <a:srcRect/>
        <a:stretch>
          <a:fillRect/>
        </a:stretch>
      </xdr:blipFill>
      <xdr:spPr bwMode="auto">
        <a:xfrm>
          <a:off x="1371600" y="3124200"/>
          <a:ext cx="5286375" cy="476250"/>
        </a:xfrm>
        <a:prstGeom prst="rect">
          <a:avLst/>
        </a:prstGeom>
        <a:noFill/>
      </xdr:spPr>
    </xdr:pic>
    <xdr:clientData/>
  </xdr:twoCellAnchor>
  <xdr:twoCellAnchor editAs="oneCell">
    <xdr:from>
      <xdr:col>2</xdr:col>
      <xdr:colOff>1</xdr:colOff>
      <xdr:row>19</xdr:row>
      <xdr:rowOff>38100</xdr:rowOff>
    </xdr:from>
    <xdr:to>
      <xdr:col>8</xdr:col>
      <xdr:colOff>400051</xdr:colOff>
      <xdr:row>37</xdr:row>
      <xdr:rowOff>26068</xdr:rowOff>
    </xdr:to>
    <xdr:pic>
      <xdr:nvPicPr>
        <xdr:cNvPr id="4" name="Picture 2"/>
        <xdr:cNvPicPr>
          <a:picLocks noChangeAspect="1" noChangeArrowheads="1"/>
        </xdr:cNvPicPr>
      </xdr:nvPicPr>
      <xdr:blipFill>
        <a:blip xmlns:r="http://schemas.openxmlformats.org/officeDocument/2006/relationships" r:embed="rId3" cstate="print"/>
        <a:srcRect/>
        <a:stretch>
          <a:fillRect/>
        </a:stretch>
      </xdr:blipFill>
      <xdr:spPr bwMode="auto">
        <a:xfrm>
          <a:off x="1371601" y="3895725"/>
          <a:ext cx="4514850" cy="3416968"/>
        </a:xfrm>
        <a:prstGeom prst="rect">
          <a:avLst/>
        </a:prstGeom>
        <a:noFill/>
        <a:ln w="1">
          <a:noFill/>
          <a:miter lim="800000"/>
          <a:headEnd/>
          <a:tailEnd type="none" w="med" len="med"/>
        </a:ln>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H3440/My%20Documents/Pilot/Pilot%20Docs/Master%20Released%20Templates/Front%20End%20for%20Prod/Intro%20Call%20Assistant/IntroCallAssistant_v13.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ntro Call Assistant"/>
      <sheetName val="Error"/>
      <sheetName val="Cadence Export"/>
      <sheetName val="Intro Call Best Practices"/>
      <sheetName val="Member Persona Traits"/>
      <sheetName val="Question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
    <tabColor rgb="FF92D050"/>
  </sheetPr>
  <dimension ref="B2:B7"/>
  <sheetViews>
    <sheetView showGridLines="0" showRowColHeaders="0" workbookViewId="0"/>
  </sheetViews>
  <sheetFormatPr defaultRowHeight="15"/>
  <cols>
    <col min="1" max="1" width="5.7109375" customWidth="1"/>
    <col min="2" max="2" width="118.85546875" customWidth="1"/>
  </cols>
  <sheetData>
    <row r="2" spans="2:2" ht="252" customHeight="1">
      <c r="B2" s="2" t="s">
        <v>71</v>
      </c>
    </row>
    <row r="3" spans="2:2">
      <c r="B3" s="1"/>
    </row>
    <row r="4" spans="2:2">
      <c r="B4" s="1"/>
    </row>
    <row r="5" spans="2:2">
      <c r="B5" s="1"/>
    </row>
    <row r="6" spans="2:2">
      <c r="B6" s="1"/>
    </row>
    <row r="7" spans="2:2">
      <c r="B7" s="1"/>
    </row>
  </sheetData>
  <sheetProtection password="C58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3">
    <tabColor theme="5" tint="0.39997558519241921"/>
  </sheetPr>
  <dimension ref="A1:AM1829"/>
  <sheetViews>
    <sheetView showGridLines="0" showRowColHeaders="0" zoomScaleNormal="100" workbookViewId="0">
      <selection activeCell="B5" sqref="B5"/>
    </sheetView>
  </sheetViews>
  <sheetFormatPr defaultRowHeight="15"/>
  <cols>
    <col min="1" max="1" width="26.5703125" style="10" customWidth="1"/>
    <col min="2" max="2" width="11.140625" style="10" bestFit="1" customWidth="1"/>
    <col min="3" max="3" width="13.42578125" style="10" bestFit="1" customWidth="1"/>
    <col min="4" max="4" width="71.7109375" style="10" customWidth="1"/>
    <col min="5" max="5" width="9.140625" style="10"/>
    <col min="6" max="10" width="9.140625" style="10" customWidth="1"/>
    <col min="11" max="25" width="9.140625" style="10"/>
    <col min="26" max="26" width="9.7109375" style="10" bestFit="1" customWidth="1"/>
    <col min="27" max="27" width="9.140625" style="10"/>
    <col min="28" max="28" width="9.140625" style="10" customWidth="1"/>
    <col min="29" max="29" width="13" style="11" customWidth="1"/>
    <col min="30" max="30" width="9.140625" style="10" customWidth="1"/>
    <col min="31" max="31" width="11" style="11" customWidth="1"/>
    <col min="32" max="32" width="12.42578125" style="12" customWidth="1"/>
    <col min="33" max="33" width="12" style="10" customWidth="1"/>
    <col min="34" max="34" width="10.7109375" style="11" bestFit="1" customWidth="1"/>
    <col min="35" max="38" width="9.140625" style="10" customWidth="1"/>
    <col min="39" max="39" width="11.28515625" style="10" customWidth="1"/>
    <col min="40" max="16384" width="9.140625" style="10"/>
  </cols>
  <sheetData>
    <row r="1" spans="1:39" ht="31.5">
      <c r="A1" s="8"/>
      <c r="B1" s="9"/>
      <c r="C1" s="9"/>
      <c r="D1" s="9"/>
      <c r="F1" s="10" t="s">
        <v>0</v>
      </c>
      <c r="G1" s="10" t="s">
        <v>1</v>
      </c>
      <c r="H1" s="10" t="s">
        <v>2</v>
      </c>
      <c r="I1" s="10" t="s">
        <v>3</v>
      </c>
    </row>
    <row r="2" spans="1:39" ht="13.5" customHeight="1">
      <c r="F2" s="10" t="s">
        <v>4</v>
      </c>
      <c r="G2" s="10" t="s">
        <v>5</v>
      </c>
      <c r="H2" s="10" t="s">
        <v>6</v>
      </c>
      <c r="I2" s="10" t="s">
        <v>7</v>
      </c>
      <c r="AE2" s="11" t="s">
        <v>8</v>
      </c>
      <c r="AF2" s="12" t="s">
        <v>9</v>
      </c>
      <c r="AG2" s="10" t="s">
        <v>10</v>
      </c>
      <c r="AH2" s="11" t="s">
        <v>70</v>
      </c>
      <c r="AM2" s="10" t="s">
        <v>11</v>
      </c>
    </row>
    <row r="3" spans="1:39" ht="13.5" customHeight="1">
      <c r="A3" s="10" t="s">
        <v>12</v>
      </c>
      <c r="B3" s="13" t="s">
        <v>59</v>
      </c>
      <c r="G3" s="10" t="s">
        <v>13</v>
      </c>
      <c r="H3" s="10" t="s">
        <v>14</v>
      </c>
      <c r="I3" s="10" t="s">
        <v>15</v>
      </c>
      <c r="P3" s="10">
        <f>IF(B3="",1,0)</f>
        <v>0</v>
      </c>
    </row>
    <row r="4" spans="1:39" ht="13.5" customHeight="1">
      <c r="A4" s="10" t="s">
        <v>16</v>
      </c>
      <c r="B4" s="13"/>
      <c r="H4" s="10" t="s">
        <v>17</v>
      </c>
      <c r="I4" s="10" t="s">
        <v>18</v>
      </c>
      <c r="P4" s="10">
        <f>IF(B4="",1,0)</f>
        <v>1</v>
      </c>
      <c r="AB4" s="10">
        <f>WEEKDAY(AC4)</f>
        <v>4</v>
      </c>
      <c r="AC4" s="11">
        <v>41640</v>
      </c>
      <c r="AE4" s="11">
        <v>41640</v>
      </c>
      <c r="AF4" s="12">
        <f>WEEKDAY(AE4)</f>
        <v>4</v>
      </c>
      <c r="AG4" s="11">
        <f>AE4+(VLOOKUP(AF4, $AJ$4:$AK$10, 2, FALSE))</f>
        <v>41645</v>
      </c>
      <c r="AH4" s="11">
        <f>IFERROR((WORKDAY(AG4, 2, AC$4:AC$53)), "")</f>
        <v>41647</v>
      </c>
      <c r="AI4" s="10">
        <f>VLOOKUP(AC4,AE:AF, 2, FALSE)</f>
        <v>4</v>
      </c>
      <c r="AJ4" s="10">
        <v>1</v>
      </c>
      <c r="AK4" s="10">
        <v>4</v>
      </c>
      <c r="AM4" s="11">
        <v>41659</v>
      </c>
    </row>
    <row r="5" spans="1:39">
      <c r="A5" s="10" t="s">
        <v>19</v>
      </c>
      <c r="B5" s="14" t="s">
        <v>59</v>
      </c>
      <c r="E5" s="10">
        <f>IF(B5="No", 1, 0)</f>
        <v>0</v>
      </c>
      <c r="L5" s="10" t="s">
        <v>20</v>
      </c>
      <c r="M5" s="13"/>
      <c r="N5" s="10" t="s">
        <v>21</v>
      </c>
      <c r="O5" s="15"/>
      <c r="P5" s="10">
        <f>IF(B5="",1,0)</f>
        <v>0</v>
      </c>
      <c r="AB5" s="10">
        <f t="shared" ref="AB5:AB53" si="0">WEEKDAY(AC5)</f>
        <v>2</v>
      </c>
      <c r="AC5" s="11">
        <v>41659</v>
      </c>
      <c r="AE5" s="11">
        <v>41641</v>
      </c>
      <c r="AF5" s="12">
        <f t="shared" ref="AF5:AF68" si="1">WEEKDAY(AE5)</f>
        <v>5</v>
      </c>
      <c r="AG5" s="11">
        <f t="shared" ref="AG5:AG68" si="2">AE5+(VLOOKUP(AF5, $AJ$4:$AK$10, 2, FALSE))</f>
        <v>41646</v>
      </c>
      <c r="AH5" s="11">
        <f t="shared" ref="AH5:AH68" si="3">IFERROR((WORKDAY(AG5, 2, AC$4:AC$53)), "")</f>
        <v>41648</v>
      </c>
      <c r="AJ5" s="10">
        <v>2</v>
      </c>
      <c r="AK5" s="10">
        <v>4</v>
      </c>
      <c r="AM5" s="11">
        <v>41687</v>
      </c>
    </row>
    <row r="6" spans="1:39">
      <c r="A6" s="10" t="s">
        <v>22</v>
      </c>
      <c r="B6" s="13" t="s">
        <v>59</v>
      </c>
      <c r="E6" s="10">
        <f>IF(B6="No", 1, 0)</f>
        <v>0</v>
      </c>
      <c r="L6" s="10" t="s">
        <v>20</v>
      </c>
      <c r="M6" s="13"/>
      <c r="N6" s="10" t="s">
        <v>21</v>
      </c>
      <c r="O6" s="13"/>
      <c r="P6" s="10">
        <f>IF(B6="",1,0)</f>
        <v>0</v>
      </c>
      <c r="AB6" s="10">
        <f t="shared" si="0"/>
        <v>2</v>
      </c>
      <c r="AC6" s="11">
        <v>41687</v>
      </c>
      <c r="AE6" s="11">
        <v>41642</v>
      </c>
      <c r="AF6" s="12">
        <f t="shared" si="1"/>
        <v>6</v>
      </c>
      <c r="AG6" s="11">
        <f t="shared" si="2"/>
        <v>41647</v>
      </c>
      <c r="AH6" s="11">
        <f t="shared" si="3"/>
        <v>41649</v>
      </c>
      <c r="AJ6" s="10">
        <v>3</v>
      </c>
      <c r="AK6" s="10">
        <v>6</v>
      </c>
      <c r="AM6" s="11">
        <v>41785</v>
      </c>
    </row>
    <row r="7" spans="1:39" hidden="1">
      <c r="A7" s="10" t="s">
        <v>23</v>
      </c>
      <c r="B7" s="16"/>
      <c r="H7" s="10" t="s">
        <v>24</v>
      </c>
      <c r="AB7" s="10">
        <f t="shared" si="0"/>
        <v>2</v>
      </c>
      <c r="AC7" s="11">
        <v>41785</v>
      </c>
      <c r="AE7" s="11">
        <v>41643</v>
      </c>
      <c r="AF7" s="12">
        <f t="shared" si="1"/>
        <v>7</v>
      </c>
      <c r="AG7" s="11">
        <f t="shared" si="2"/>
        <v>41648</v>
      </c>
      <c r="AH7" s="11">
        <f t="shared" si="3"/>
        <v>41652</v>
      </c>
      <c r="AJ7" s="10">
        <v>4</v>
      </c>
      <c r="AK7" s="10">
        <v>5</v>
      </c>
      <c r="AM7" s="11">
        <v>41824</v>
      </c>
    </row>
    <row r="8" spans="1:39">
      <c r="A8" s="10" t="s">
        <v>25</v>
      </c>
      <c r="B8" s="10" t="str">
        <f>IF(B22&gt;30, "Yes", "No")</f>
        <v>No</v>
      </c>
      <c r="E8" s="10">
        <f>IF(B8="Yes", 1, 0)</f>
        <v>0</v>
      </c>
      <c r="AB8" s="10">
        <f t="shared" si="0"/>
        <v>6</v>
      </c>
      <c r="AC8" s="11">
        <v>41824</v>
      </c>
      <c r="AE8" s="11">
        <v>41644</v>
      </c>
      <c r="AF8" s="12">
        <f t="shared" si="1"/>
        <v>1</v>
      </c>
      <c r="AG8" s="11">
        <f t="shared" si="2"/>
        <v>41648</v>
      </c>
      <c r="AH8" s="11">
        <f t="shared" si="3"/>
        <v>41652</v>
      </c>
      <c r="AJ8" s="10">
        <v>5</v>
      </c>
      <c r="AK8" s="10">
        <v>5</v>
      </c>
      <c r="AM8" s="11">
        <v>41883</v>
      </c>
    </row>
    <row r="9" spans="1:39" hidden="1">
      <c r="A9" s="10" t="s">
        <v>26</v>
      </c>
      <c r="B9" s="13"/>
      <c r="AB9" s="10">
        <f t="shared" si="0"/>
        <v>2</v>
      </c>
      <c r="AC9" s="11">
        <v>41883</v>
      </c>
      <c r="AE9" s="11">
        <v>41645</v>
      </c>
      <c r="AF9" s="12">
        <f t="shared" si="1"/>
        <v>2</v>
      </c>
      <c r="AG9" s="11">
        <f t="shared" si="2"/>
        <v>41649</v>
      </c>
      <c r="AH9" s="11">
        <f t="shared" si="3"/>
        <v>41653</v>
      </c>
      <c r="AJ9" s="10">
        <v>6</v>
      </c>
      <c r="AK9" s="10">
        <v>5</v>
      </c>
      <c r="AM9" s="11">
        <v>41925</v>
      </c>
    </row>
    <row r="10" spans="1:39">
      <c r="A10" s="10" t="s">
        <v>27</v>
      </c>
      <c r="B10" s="17"/>
      <c r="P10" s="10">
        <f>IF(B10="",1,0)</f>
        <v>1</v>
      </c>
      <c r="AB10" s="10">
        <f t="shared" si="0"/>
        <v>2</v>
      </c>
      <c r="AC10" s="11">
        <v>41925</v>
      </c>
      <c r="AE10" s="11">
        <v>41646</v>
      </c>
      <c r="AF10" s="12">
        <f t="shared" si="1"/>
        <v>3</v>
      </c>
      <c r="AG10" s="11">
        <f t="shared" si="2"/>
        <v>41652</v>
      </c>
      <c r="AH10" s="11">
        <f t="shared" si="3"/>
        <v>41654</v>
      </c>
      <c r="AJ10" s="10">
        <v>7</v>
      </c>
      <c r="AK10" s="10">
        <v>5</v>
      </c>
      <c r="AM10" s="11"/>
    </row>
    <row r="11" spans="1:39" hidden="1">
      <c r="A11" s="10" t="s">
        <v>28</v>
      </c>
      <c r="B11" s="17"/>
      <c r="AB11" s="10">
        <f t="shared" si="0"/>
        <v>7</v>
      </c>
      <c r="AE11" s="11">
        <v>41647</v>
      </c>
      <c r="AF11" s="12">
        <f t="shared" si="1"/>
        <v>4</v>
      </c>
      <c r="AG11" s="11">
        <f t="shared" si="2"/>
        <v>41652</v>
      </c>
      <c r="AH11" s="11">
        <f t="shared" si="3"/>
        <v>41654</v>
      </c>
      <c r="AM11" s="11">
        <v>41954</v>
      </c>
    </row>
    <row r="12" spans="1:39">
      <c r="A12" s="10" t="s">
        <v>29</v>
      </c>
      <c r="B12" s="10" t="str">
        <f>IF(E24&gt;0, "SUSPENDED", "APPROVED")</f>
        <v>APPROVED</v>
      </c>
      <c r="AB12" s="10">
        <f t="shared" si="0"/>
        <v>3</v>
      </c>
      <c r="AC12" s="11">
        <v>41954</v>
      </c>
      <c r="AE12" s="11">
        <v>41648</v>
      </c>
      <c r="AF12" s="12">
        <f t="shared" si="1"/>
        <v>5</v>
      </c>
      <c r="AG12" s="11">
        <f t="shared" si="2"/>
        <v>41653</v>
      </c>
      <c r="AH12" s="11">
        <f t="shared" si="3"/>
        <v>41655</v>
      </c>
      <c r="AM12" s="11">
        <v>41970</v>
      </c>
    </row>
    <row r="13" spans="1:39">
      <c r="A13" s="10" t="s">
        <v>30</v>
      </c>
      <c r="B13" s="16">
        <f>B20</f>
        <v>0</v>
      </c>
      <c r="AB13" s="10">
        <f t="shared" si="0"/>
        <v>5</v>
      </c>
      <c r="AC13" s="11">
        <v>41970</v>
      </c>
      <c r="AE13" s="11">
        <v>41649</v>
      </c>
      <c r="AF13" s="12">
        <f t="shared" si="1"/>
        <v>6</v>
      </c>
      <c r="AG13" s="11">
        <f t="shared" si="2"/>
        <v>41654</v>
      </c>
      <c r="AH13" s="11">
        <f t="shared" si="3"/>
        <v>41656</v>
      </c>
      <c r="AM13" s="11">
        <v>41998</v>
      </c>
    </row>
    <row r="14" spans="1:39">
      <c r="A14" s="10" t="s">
        <v>31</v>
      </c>
      <c r="B14" s="16"/>
      <c r="C14" s="11">
        <f>B14+B16</f>
        <v>6</v>
      </c>
      <c r="E14" s="10">
        <f>IF(B26="Yes",(IF(B14&lt;B13,1,0)),0)</f>
        <v>0</v>
      </c>
      <c r="AB14" s="10">
        <f t="shared" si="0"/>
        <v>5</v>
      </c>
      <c r="AC14" s="11">
        <v>41998</v>
      </c>
      <c r="AE14" s="11">
        <v>41650</v>
      </c>
      <c r="AF14" s="12">
        <f t="shared" si="1"/>
        <v>7</v>
      </c>
      <c r="AG14" s="11">
        <f t="shared" si="2"/>
        <v>41655</v>
      </c>
      <c r="AH14" s="11">
        <f t="shared" si="3"/>
        <v>41660</v>
      </c>
      <c r="AM14" s="11">
        <v>42005</v>
      </c>
    </row>
    <row r="15" spans="1:39">
      <c r="A15" s="10" t="str">
        <f>IF(B26="No", "PER DIEM AMOUNT:", "MONTHLY INTEREST AMOUNT:")</f>
        <v>MONTHLY INTEREST AMOUNT:</v>
      </c>
      <c r="B15" s="17"/>
      <c r="P15" s="10">
        <f>IF(B15="",1,0)</f>
        <v>1</v>
      </c>
      <c r="AB15" s="10">
        <f t="shared" si="0"/>
        <v>5</v>
      </c>
      <c r="AC15" s="11">
        <v>42005</v>
      </c>
      <c r="AE15" s="11">
        <v>41651</v>
      </c>
      <c r="AF15" s="12">
        <f t="shared" si="1"/>
        <v>1</v>
      </c>
      <c r="AG15" s="11">
        <f t="shared" si="2"/>
        <v>41655</v>
      </c>
      <c r="AH15" s="11">
        <f t="shared" si="3"/>
        <v>41660</v>
      </c>
      <c r="AM15" s="11">
        <v>42023</v>
      </c>
    </row>
    <row r="16" spans="1:39">
      <c r="A16" s="10" t="s">
        <v>32</v>
      </c>
      <c r="B16" s="12">
        <f>IF(B22&gt;0, B22, 0)</f>
        <v>6</v>
      </c>
      <c r="C16" s="18"/>
      <c r="AB16" s="10">
        <f t="shared" si="0"/>
        <v>2</v>
      </c>
      <c r="AC16" s="11">
        <v>42023</v>
      </c>
      <c r="AE16" s="11">
        <v>41652</v>
      </c>
      <c r="AF16" s="12">
        <f t="shared" si="1"/>
        <v>2</v>
      </c>
      <c r="AG16" s="11">
        <f t="shared" si="2"/>
        <v>41656</v>
      </c>
      <c r="AH16" s="11">
        <f t="shared" si="3"/>
        <v>41661</v>
      </c>
      <c r="AM16" s="11">
        <v>42051</v>
      </c>
    </row>
    <row r="17" spans="1:39">
      <c r="A17" s="10" t="s">
        <v>33</v>
      </c>
      <c r="B17" s="18">
        <f>IF(B26="No",(B10+(B15*B16)), IF(B16=0, B10, (B10+B15)))</f>
        <v>0</v>
      </c>
      <c r="C17" s="18"/>
      <c r="AB17" s="10">
        <f t="shared" si="0"/>
        <v>2</v>
      </c>
      <c r="AC17" s="11">
        <v>42051</v>
      </c>
      <c r="AE17" s="11">
        <v>41653</v>
      </c>
      <c r="AF17" s="12">
        <f t="shared" si="1"/>
        <v>3</v>
      </c>
      <c r="AG17" s="11">
        <v>41660</v>
      </c>
      <c r="AH17" s="11">
        <f t="shared" si="3"/>
        <v>41662</v>
      </c>
      <c r="AM17" s="11">
        <v>42149</v>
      </c>
    </row>
    <row r="18" spans="1:39">
      <c r="A18" s="10" t="s">
        <v>34</v>
      </c>
      <c r="B18" s="13" t="s">
        <v>0</v>
      </c>
      <c r="P18" s="10">
        <f>IF(B18="",1,0)</f>
        <v>0</v>
      </c>
      <c r="AB18" s="10">
        <f t="shared" si="0"/>
        <v>2</v>
      </c>
      <c r="AC18" s="11">
        <v>42149</v>
      </c>
      <c r="AE18" s="11">
        <v>41654</v>
      </c>
      <c r="AF18" s="12">
        <f t="shared" si="1"/>
        <v>4</v>
      </c>
      <c r="AG18" s="11">
        <v>41660</v>
      </c>
      <c r="AH18" s="11">
        <f t="shared" si="3"/>
        <v>41662</v>
      </c>
      <c r="AM18" s="11">
        <v>42254</v>
      </c>
    </row>
    <row r="19" spans="1:39">
      <c r="A19" s="10" t="s">
        <v>35</v>
      </c>
      <c r="B19" s="16"/>
      <c r="E19" s="10">
        <f>IF((YEAR(B20)=YEAR(B32)),(IF(MONTH(B20)&gt;MONTH(B32),1,0)),(IF(YEAR(B32)&gt;YEAR(B20),0,1)))</f>
        <v>0</v>
      </c>
      <c r="P19" s="10">
        <f>IF(B19="",1,0)</f>
        <v>1</v>
      </c>
      <c r="AB19" s="10">
        <f t="shared" si="0"/>
        <v>2</v>
      </c>
      <c r="AC19" s="11">
        <v>42254</v>
      </c>
      <c r="AE19" s="11">
        <v>41655</v>
      </c>
      <c r="AF19" s="12">
        <f t="shared" si="1"/>
        <v>5</v>
      </c>
      <c r="AG19" s="11">
        <v>41661</v>
      </c>
      <c r="AH19" s="11">
        <f t="shared" si="3"/>
        <v>41663</v>
      </c>
      <c r="AM19" s="11">
        <v>42289</v>
      </c>
    </row>
    <row r="20" spans="1:39">
      <c r="A20" s="19" t="s">
        <v>30</v>
      </c>
      <c r="B20" s="16"/>
      <c r="D20" s="11"/>
      <c r="E20" s="10">
        <f>IF((B19+30)&lt;C27,1,0)</f>
        <v>0</v>
      </c>
      <c r="P20" s="10">
        <f>IF(B20="",1,0)</f>
        <v>1</v>
      </c>
      <c r="AB20" s="10">
        <f t="shared" si="0"/>
        <v>2</v>
      </c>
      <c r="AC20" s="11">
        <v>42289</v>
      </c>
      <c r="AE20" s="11">
        <v>41656</v>
      </c>
      <c r="AF20" s="12">
        <f t="shared" si="1"/>
        <v>6</v>
      </c>
      <c r="AG20" s="11">
        <v>41662</v>
      </c>
      <c r="AH20" s="11">
        <f t="shared" si="3"/>
        <v>41666</v>
      </c>
      <c r="AM20" s="11">
        <v>42319</v>
      </c>
    </row>
    <row r="21" spans="1:39">
      <c r="A21" s="19" t="s">
        <v>36</v>
      </c>
      <c r="B21" s="11">
        <f>IFERROR((WORKDAY(C27, 5, AC$4:AC$53)), "")</f>
        <v>6</v>
      </c>
      <c r="AB21" s="10">
        <f t="shared" si="0"/>
        <v>4</v>
      </c>
      <c r="AC21" s="11">
        <v>42319</v>
      </c>
      <c r="AE21" s="11">
        <v>41657</v>
      </c>
      <c r="AF21" s="12">
        <f t="shared" si="1"/>
        <v>7</v>
      </c>
      <c r="AG21" s="11">
        <v>41663</v>
      </c>
      <c r="AH21" s="11">
        <f t="shared" si="3"/>
        <v>41667</v>
      </c>
      <c r="AM21" s="11">
        <v>42334</v>
      </c>
    </row>
    <row r="22" spans="1:39">
      <c r="A22" s="10" t="s">
        <v>37</v>
      </c>
      <c r="B22" s="12">
        <f>IFERROR(IF($B$25="Yes", $B$23-$B$14, $B$21-$B$14), "")</f>
        <v>6</v>
      </c>
      <c r="E22" s="12">
        <f>IFERROR(IF(B26="Yes",IF(B25="Yes",IF(B21&gt;B14,1,0),IF(B23&gt;B14,1,0)),0),0)</f>
        <v>0</v>
      </c>
      <c r="AB22" s="10">
        <f t="shared" si="0"/>
        <v>5</v>
      </c>
      <c r="AC22" s="11">
        <v>42334</v>
      </c>
      <c r="AE22" s="11">
        <v>41658</v>
      </c>
      <c r="AF22" s="12">
        <f t="shared" si="1"/>
        <v>1</v>
      </c>
      <c r="AG22" s="11">
        <v>41663</v>
      </c>
      <c r="AH22" s="11">
        <f t="shared" si="3"/>
        <v>41667</v>
      </c>
      <c r="AM22" s="11">
        <v>42363</v>
      </c>
    </row>
    <row r="23" spans="1:39">
      <c r="A23" s="19" t="s">
        <v>38</v>
      </c>
      <c r="B23" s="11">
        <f>WORKDAY(C27, 5, AC4:AC53)</f>
        <v>6</v>
      </c>
      <c r="AB23" s="10">
        <f t="shared" si="0"/>
        <v>6</v>
      </c>
      <c r="AC23" s="11">
        <v>42363</v>
      </c>
      <c r="AE23" s="11">
        <v>41659</v>
      </c>
      <c r="AF23" s="12">
        <f t="shared" si="1"/>
        <v>2</v>
      </c>
      <c r="AG23" s="11">
        <f t="shared" si="2"/>
        <v>41663</v>
      </c>
      <c r="AH23" s="11">
        <f t="shared" si="3"/>
        <v>41667</v>
      </c>
    </row>
    <row r="24" spans="1:39">
      <c r="A24" s="10" t="s">
        <v>67</v>
      </c>
      <c r="B24" s="12">
        <f>IFERROR(IF($B$25="Yes", $B$23-$B$32, $B$21-$B$32), "")</f>
        <v>6</v>
      </c>
      <c r="E24" s="10">
        <f>SUM(E3:E23)</f>
        <v>0</v>
      </c>
      <c r="AB24" s="10">
        <f t="shared" si="0"/>
        <v>6</v>
      </c>
      <c r="AC24" s="11">
        <v>42370</v>
      </c>
      <c r="AE24" s="11">
        <v>41660</v>
      </c>
      <c r="AF24" s="12">
        <f t="shared" si="1"/>
        <v>3</v>
      </c>
      <c r="AG24" s="11">
        <f t="shared" si="2"/>
        <v>41666</v>
      </c>
      <c r="AH24" s="11">
        <f t="shared" si="3"/>
        <v>41668</v>
      </c>
    </row>
    <row r="25" spans="1:39" ht="30">
      <c r="A25" s="10" t="s">
        <v>39</v>
      </c>
      <c r="B25" s="13"/>
      <c r="D25" s="7" t="s">
        <v>76</v>
      </c>
      <c r="P25" s="10">
        <f>IF(B25="",1,0)</f>
        <v>1</v>
      </c>
      <c r="AB25" s="10">
        <f t="shared" si="0"/>
        <v>2</v>
      </c>
      <c r="AC25" s="11">
        <v>42387</v>
      </c>
      <c r="AE25" s="11">
        <v>41661</v>
      </c>
      <c r="AF25" s="12">
        <f t="shared" si="1"/>
        <v>4</v>
      </c>
      <c r="AG25" s="11">
        <f t="shared" si="2"/>
        <v>41666</v>
      </c>
      <c r="AH25" s="11">
        <f t="shared" si="3"/>
        <v>41668</v>
      </c>
    </row>
    <row r="26" spans="1:39">
      <c r="A26" s="10" t="s">
        <v>40</v>
      </c>
      <c r="B26" s="13"/>
      <c r="P26" s="10">
        <f>IF(B26="",1,0)</f>
        <v>1</v>
      </c>
      <c r="AB26" s="10">
        <f t="shared" si="0"/>
        <v>2</v>
      </c>
      <c r="AC26" s="11">
        <v>42415</v>
      </c>
      <c r="AE26" s="11">
        <v>41662</v>
      </c>
      <c r="AF26" s="12">
        <f t="shared" si="1"/>
        <v>5</v>
      </c>
      <c r="AG26" s="11">
        <f t="shared" si="2"/>
        <v>41667</v>
      </c>
      <c r="AH26" s="11">
        <f t="shared" si="3"/>
        <v>41669</v>
      </c>
    </row>
    <row r="27" spans="1:39">
      <c r="A27" s="10" t="str">
        <f>IF(B27=C27, "CALCULATED FUNDING DATE:","MANUALLY OVERRIDDEN FUNDING DATE:")</f>
        <v>MANUALLY OVERRIDDEN FUNDING DATE:</v>
      </c>
      <c r="B27" s="11">
        <f>IFERROR((IF(B25="No", VLOOKUP(B$20, AE$4:AH$1829, C38,FALSE ), WORKDAY(B20, 1, AC4:AC53))), "")</f>
        <v>2</v>
      </c>
      <c r="C27" s="16"/>
      <c r="AB27" s="10">
        <f t="shared" si="0"/>
        <v>2</v>
      </c>
      <c r="AC27" s="11">
        <v>42520</v>
      </c>
      <c r="AE27" s="11">
        <v>41663</v>
      </c>
      <c r="AF27" s="12">
        <f t="shared" si="1"/>
        <v>6</v>
      </c>
      <c r="AG27" s="11">
        <f t="shared" si="2"/>
        <v>41668</v>
      </c>
      <c r="AH27" s="11">
        <f t="shared" si="3"/>
        <v>41670</v>
      </c>
    </row>
    <row r="28" spans="1:39">
      <c r="A28" s="10" t="s">
        <v>60</v>
      </c>
      <c r="B28" s="11">
        <f>WORKDAY(B20, 1, AC4:AC53)</f>
        <v>2</v>
      </c>
      <c r="AB28" s="10">
        <f t="shared" si="0"/>
        <v>2</v>
      </c>
      <c r="AC28" s="11">
        <v>42555</v>
      </c>
      <c r="AE28" s="11">
        <v>41664</v>
      </c>
      <c r="AF28" s="12">
        <f t="shared" si="1"/>
        <v>7</v>
      </c>
      <c r="AG28" s="11">
        <f t="shared" si="2"/>
        <v>41669</v>
      </c>
      <c r="AH28" s="11">
        <f t="shared" si="3"/>
        <v>41673</v>
      </c>
    </row>
    <row r="29" spans="1:39">
      <c r="A29" s="10" t="s">
        <v>66</v>
      </c>
      <c r="B29" s="13"/>
      <c r="P29" s="10">
        <f>IF(B29="",1,0)</f>
        <v>1</v>
      </c>
      <c r="AB29" s="10">
        <f t="shared" si="0"/>
        <v>2</v>
      </c>
      <c r="AC29" s="11">
        <v>42618</v>
      </c>
      <c r="AE29" s="11">
        <v>41665</v>
      </c>
      <c r="AF29" s="12">
        <f t="shared" si="1"/>
        <v>1</v>
      </c>
      <c r="AG29" s="11">
        <f t="shared" si="2"/>
        <v>41669</v>
      </c>
      <c r="AH29" s="11">
        <f t="shared" si="3"/>
        <v>41673</v>
      </c>
    </row>
    <row r="30" spans="1:39">
      <c r="A30" s="11">
        <f ca="1">TODAY()</f>
        <v>42696</v>
      </c>
      <c r="AB30" s="10">
        <f t="shared" si="0"/>
        <v>2</v>
      </c>
      <c r="AC30" s="11">
        <v>42653</v>
      </c>
      <c r="AE30" s="11">
        <v>41666</v>
      </c>
      <c r="AF30" s="12">
        <f t="shared" si="1"/>
        <v>2</v>
      </c>
      <c r="AG30" s="11">
        <f t="shared" si="2"/>
        <v>41670</v>
      </c>
      <c r="AH30" s="11">
        <f t="shared" si="3"/>
        <v>41674</v>
      </c>
    </row>
    <row r="31" spans="1:39">
      <c r="A31" s="11">
        <f ca="1">WORKDAY(A30, 3)</f>
        <v>42699</v>
      </c>
      <c r="AB31" s="10">
        <f t="shared" si="0"/>
        <v>6</v>
      </c>
      <c r="AC31" s="11">
        <v>42685</v>
      </c>
      <c r="AE31" s="11">
        <v>41667</v>
      </c>
      <c r="AF31" s="12">
        <f t="shared" si="1"/>
        <v>3</v>
      </c>
      <c r="AG31" s="11">
        <f t="shared" si="2"/>
        <v>41673</v>
      </c>
      <c r="AH31" s="11">
        <f t="shared" si="3"/>
        <v>41675</v>
      </c>
    </row>
    <row r="32" spans="1:39">
      <c r="A32" s="10" t="s">
        <v>61</v>
      </c>
      <c r="B32" s="16"/>
      <c r="P32" s="10">
        <f>IF(B32="",1,0)</f>
        <v>1</v>
      </c>
      <c r="AB32" s="10">
        <f t="shared" si="0"/>
        <v>5</v>
      </c>
      <c r="AC32" s="11">
        <v>42698</v>
      </c>
      <c r="AE32" s="11">
        <v>41668</v>
      </c>
      <c r="AF32" s="12">
        <f t="shared" si="1"/>
        <v>4</v>
      </c>
      <c r="AG32" s="11">
        <f t="shared" si="2"/>
        <v>41673</v>
      </c>
      <c r="AH32" s="11">
        <f t="shared" si="3"/>
        <v>41675</v>
      </c>
    </row>
    <row r="33" spans="1:34">
      <c r="A33" s="10" t="s">
        <v>62</v>
      </c>
      <c r="B33" s="11">
        <f>B32+14</f>
        <v>14</v>
      </c>
      <c r="C33" s="16"/>
      <c r="AB33" s="10">
        <f t="shared" si="0"/>
        <v>2</v>
      </c>
      <c r="AC33" s="11">
        <v>42730</v>
      </c>
      <c r="AE33" s="11">
        <v>41669</v>
      </c>
      <c r="AF33" s="12">
        <f t="shared" si="1"/>
        <v>5</v>
      </c>
      <c r="AG33" s="11">
        <f t="shared" si="2"/>
        <v>41674</v>
      </c>
      <c r="AH33" s="11">
        <f t="shared" si="3"/>
        <v>41676</v>
      </c>
    </row>
    <row r="34" spans="1:34">
      <c r="A34" s="10" t="s">
        <v>63</v>
      </c>
      <c r="B34" s="17"/>
      <c r="AB34" s="10">
        <f t="shared" si="0"/>
        <v>2</v>
      </c>
      <c r="AC34" s="11">
        <v>42737</v>
      </c>
      <c r="AE34" s="11">
        <v>41670</v>
      </c>
      <c r="AF34" s="12">
        <f t="shared" si="1"/>
        <v>6</v>
      </c>
      <c r="AG34" s="11">
        <f t="shared" si="2"/>
        <v>41675</v>
      </c>
      <c r="AH34" s="11">
        <f t="shared" si="3"/>
        <v>41677</v>
      </c>
    </row>
    <row r="35" spans="1:34">
      <c r="A35" s="10" t="s">
        <v>64</v>
      </c>
      <c r="B35" s="10" t="str">
        <f>IF(C27&gt;C33,"Yes","No")</f>
        <v>No</v>
      </c>
      <c r="AB35" s="10">
        <f t="shared" si="0"/>
        <v>2</v>
      </c>
      <c r="AC35" s="11">
        <v>42751</v>
      </c>
      <c r="AE35" s="11">
        <v>41671</v>
      </c>
      <c r="AF35" s="12">
        <f t="shared" si="1"/>
        <v>7</v>
      </c>
      <c r="AG35" s="11">
        <f t="shared" si="2"/>
        <v>41676</v>
      </c>
      <c r="AH35" s="11">
        <f t="shared" si="3"/>
        <v>41680</v>
      </c>
    </row>
    <row r="36" spans="1:34">
      <c r="A36" s="10" t="s">
        <v>65</v>
      </c>
      <c r="B36" s="18">
        <f>IF(B35="Yes",B17+B34,B17)</f>
        <v>0</v>
      </c>
      <c r="AB36" s="10">
        <f t="shared" si="0"/>
        <v>2</v>
      </c>
      <c r="AC36" s="11">
        <v>42786</v>
      </c>
      <c r="AE36" s="11">
        <v>41672</v>
      </c>
      <c r="AF36" s="12">
        <f t="shared" si="1"/>
        <v>1</v>
      </c>
      <c r="AG36" s="11">
        <f t="shared" si="2"/>
        <v>41676</v>
      </c>
      <c r="AH36" s="11">
        <f t="shared" si="3"/>
        <v>41680</v>
      </c>
    </row>
    <row r="37" spans="1:34">
      <c r="A37" s="10" t="s">
        <v>68</v>
      </c>
      <c r="B37" s="11">
        <f>IF(B25="Yes",B23,B21)</f>
        <v>6</v>
      </c>
      <c r="P37" s="10">
        <f>SUM(P3:P32)</f>
        <v>9</v>
      </c>
      <c r="AB37" s="10">
        <f t="shared" si="0"/>
        <v>2</v>
      </c>
      <c r="AC37" s="11">
        <v>42884</v>
      </c>
      <c r="AE37" s="11">
        <v>41673</v>
      </c>
      <c r="AF37" s="12">
        <f t="shared" si="1"/>
        <v>2</v>
      </c>
      <c r="AG37" s="11">
        <f t="shared" si="2"/>
        <v>41677</v>
      </c>
      <c r="AH37" s="11">
        <f t="shared" si="3"/>
        <v>41681</v>
      </c>
    </row>
    <row r="38" spans="1:34">
      <c r="A38" s="10" t="s">
        <v>69</v>
      </c>
      <c r="B38" s="10" t="str">
        <f>IF(D38=TRUE,"Yes","No")</f>
        <v>No</v>
      </c>
      <c r="C38" s="10">
        <f>IF(B38="Yes", 4,3)</f>
        <v>3</v>
      </c>
      <c r="D38" s="13" t="b">
        <v>0</v>
      </c>
      <c r="AB38" s="10">
        <f t="shared" si="0"/>
        <v>3</v>
      </c>
      <c r="AC38" s="11">
        <v>42920</v>
      </c>
      <c r="AE38" s="11">
        <v>41674</v>
      </c>
      <c r="AF38" s="12">
        <f t="shared" si="1"/>
        <v>3</v>
      </c>
      <c r="AG38" s="11">
        <f t="shared" si="2"/>
        <v>41680</v>
      </c>
      <c r="AH38" s="11">
        <f t="shared" si="3"/>
        <v>41682</v>
      </c>
    </row>
    <row r="39" spans="1:34">
      <c r="AB39" s="10">
        <f t="shared" si="0"/>
        <v>2</v>
      </c>
      <c r="AC39" s="11">
        <v>42982</v>
      </c>
      <c r="AE39" s="11">
        <v>41675</v>
      </c>
      <c r="AF39" s="12">
        <f t="shared" si="1"/>
        <v>4</v>
      </c>
      <c r="AG39" s="11">
        <f t="shared" si="2"/>
        <v>41680</v>
      </c>
      <c r="AH39" s="11">
        <f t="shared" si="3"/>
        <v>41682</v>
      </c>
    </row>
    <row r="40" spans="1:34">
      <c r="AB40" s="10">
        <f t="shared" si="0"/>
        <v>2</v>
      </c>
      <c r="AC40" s="11">
        <v>43017</v>
      </c>
      <c r="AE40" s="11">
        <v>41676</v>
      </c>
      <c r="AF40" s="12">
        <f t="shared" si="1"/>
        <v>5</v>
      </c>
      <c r="AG40" s="11">
        <f t="shared" si="2"/>
        <v>41681</v>
      </c>
      <c r="AH40" s="11">
        <f t="shared" si="3"/>
        <v>41683</v>
      </c>
    </row>
    <row r="41" spans="1:34">
      <c r="A41" s="18">
        <f>PRODUCT(B15,B16)</f>
        <v>6</v>
      </c>
      <c r="AB41" s="10">
        <f t="shared" si="0"/>
        <v>7</v>
      </c>
      <c r="AC41" s="11">
        <v>43050</v>
      </c>
      <c r="AE41" s="11">
        <v>41677</v>
      </c>
      <c r="AF41" s="12">
        <f t="shared" si="1"/>
        <v>6</v>
      </c>
      <c r="AG41" s="11">
        <f t="shared" si="2"/>
        <v>41682</v>
      </c>
      <c r="AH41" s="11">
        <f t="shared" si="3"/>
        <v>41684</v>
      </c>
    </row>
    <row r="42" spans="1:34">
      <c r="AB42" s="10">
        <f t="shared" si="0"/>
        <v>5</v>
      </c>
      <c r="AC42" s="11">
        <v>43062</v>
      </c>
      <c r="AE42" s="11">
        <v>41678</v>
      </c>
      <c r="AF42" s="12">
        <f t="shared" si="1"/>
        <v>7</v>
      </c>
      <c r="AG42" s="11">
        <f t="shared" si="2"/>
        <v>41683</v>
      </c>
      <c r="AH42" s="11">
        <f t="shared" si="3"/>
        <v>41688</v>
      </c>
    </row>
    <row r="43" spans="1:34">
      <c r="AB43" s="10">
        <f t="shared" si="0"/>
        <v>2</v>
      </c>
      <c r="AC43" s="11">
        <v>43094</v>
      </c>
      <c r="AE43" s="11">
        <v>41679</v>
      </c>
      <c r="AF43" s="12">
        <f t="shared" si="1"/>
        <v>1</v>
      </c>
      <c r="AG43" s="11">
        <f t="shared" si="2"/>
        <v>41683</v>
      </c>
      <c r="AH43" s="11">
        <f t="shared" si="3"/>
        <v>41688</v>
      </c>
    </row>
    <row r="44" spans="1:34">
      <c r="AB44" s="10">
        <f t="shared" si="0"/>
        <v>2</v>
      </c>
      <c r="AC44" s="11">
        <v>43101</v>
      </c>
      <c r="AE44" s="11">
        <v>41680</v>
      </c>
      <c r="AF44" s="12">
        <f t="shared" si="1"/>
        <v>2</v>
      </c>
      <c r="AG44" s="11">
        <f t="shared" si="2"/>
        <v>41684</v>
      </c>
      <c r="AH44" s="11">
        <f t="shared" si="3"/>
        <v>41689</v>
      </c>
    </row>
    <row r="45" spans="1:34">
      <c r="AB45" s="10">
        <f t="shared" si="0"/>
        <v>2</v>
      </c>
      <c r="AC45" s="11">
        <v>43115</v>
      </c>
      <c r="AE45" s="11">
        <v>41681</v>
      </c>
      <c r="AF45" s="12">
        <f t="shared" si="1"/>
        <v>3</v>
      </c>
      <c r="AG45" s="11">
        <v>41688</v>
      </c>
      <c r="AH45" s="11">
        <f t="shared" si="3"/>
        <v>41690</v>
      </c>
    </row>
    <row r="46" spans="1:34">
      <c r="AB46" s="10">
        <f t="shared" si="0"/>
        <v>2</v>
      </c>
      <c r="AC46" s="11">
        <v>43150</v>
      </c>
      <c r="AE46" s="11">
        <v>41682</v>
      </c>
      <c r="AF46" s="12">
        <f t="shared" si="1"/>
        <v>4</v>
      </c>
      <c r="AG46" s="11">
        <v>41688</v>
      </c>
      <c r="AH46" s="11">
        <f t="shared" si="3"/>
        <v>41690</v>
      </c>
    </row>
    <row r="47" spans="1:34">
      <c r="AB47" s="10">
        <f t="shared" si="0"/>
        <v>2</v>
      </c>
      <c r="AC47" s="11">
        <v>43248</v>
      </c>
      <c r="AE47" s="11">
        <v>41683</v>
      </c>
      <c r="AF47" s="12">
        <f t="shared" si="1"/>
        <v>5</v>
      </c>
      <c r="AG47" s="11">
        <v>41689</v>
      </c>
      <c r="AH47" s="11">
        <f t="shared" si="3"/>
        <v>41691</v>
      </c>
    </row>
    <row r="48" spans="1:34">
      <c r="AB48" s="10">
        <f t="shared" si="0"/>
        <v>4</v>
      </c>
      <c r="AC48" s="11">
        <v>43285</v>
      </c>
      <c r="AE48" s="11">
        <v>41684</v>
      </c>
      <c r="AF48" s="12">
        <f t="shared" si="1"/>
        <v>6</v>
      </c>
      <c r="AG48" s="11">
        <v>41690</v>
      </c>
      <c r="AH48" s="11">
        <f t="shared" si="3"/>
        <v>41694</v>
      </c>
    </row>
    <row r="49" spans="26:34">
      <c r="AB49" s="10">
        <f t="shared" si="0"/>
        <v>2</v>
      </c>
      <c r="AC49" s="11">
        <v>43346</v>
      </c>
      <c r="AE49" s="11">
        <v>41685</v>
      </c>
      <c r="AF49" s="12">
        <f t="shared" si="1"/>
        <v>7</v>
      </c>
      <c r="AG49" s="11">
        <v>41691</v>
      </c>
      <c r="AH49" s="11">
        <f t="shared" si="3"/>
        <v>41695</v>
      </c>
    </row>
    <row r="50" spans="26:34">
      <c r="Z50" s="10" t="s">
        <v>41</v>
      </c>
      <c r="AB50" s="10">
        <f t="shared" si="0"/>
        <v>2</v>
      </c>
      <c r="AC50" s="11">
        <v>43381</v>
      </c>
      <c r="AE50" s="11">
        <v>41686</v>
      </c>
      <c r="AF50" s="12">
        <f t="shared" si="1"/>
        <v>1</v>
      </c>
      <c r="AG50" s="11">
        <v>41691</v>
      </c>
      <c r="AH50" s="11">
        <f t="shared" si="3"/>
        <v>41695</v>
      </c>
    </row>
    <row r="51" spans="26:34">
      <c r="Z51" s="20" t="s">
        <v>42</v>
      </c>
      <c r="AB51" s="10">
        <f t="shared" si="0"/>
        <v>2</v>
      </c>
      <c r="AC51" s="11">
        <v>43416</v>
      </c>
      <c r="AE51" s="11">
        <v>41687</v>
      </c>
      <c r="AF51" s="12">
        <f t="shared" si="1"/>
        <v>2</v>
      </c>
      <c r="AG51" s="11">
        <f t="shared" si="2"/>
        <v>41691</v>
      </c>
      <c r="AH51" s="11">
        <f t="shared" si="3"/>
        <v>41695</v>
      </c>
    </row>
    <row r="52" spans="26:34">
      <c r="Z52" s="10" t="s">
        <v>43</v>
      </c>
      <c r="AB52" s="10">
        <f t="shared" si="0"/>
        <v>5</v>
      </c>
      <c r="AC52" s="11">
        <v>43426</v>
      </c>
      <c r="AE52" s="11">
        <v>41688</v>
      </c>
      <c r="AF52" s="12">
        <f t="shared" si="1"/>
        <v>3</v>
      </c>
      <c r="AG52" s="11">
        <f t="shared" si="2"/>
        <v>41694</v>
      </c>
      <c r="AH52" s="11">
        <f t="shared" si="3"/>
        <v>41696</v>
      </c>
    </row>
    <row r="53" spans="26:34">
      <c r="Z53" s="11" t="s">
        <v>44</v>
      </c>
      <c r="AB53" s="10">
        <f t="shared" si="0"/>
        <v>3</v>
      </c>
      <c r="AC53" s="11">
        <v>43459</v>
      </c>
      <c r="AE53" s="11">
        <v>41689</v>
      </c>
      <c r="AF53" s="12">
        <f t="shared" si="1"/>
        <v>4</v>
      </c>
      <c r="AG53" s="11">
        <f t="shared" si="2"/>
        <v>41694</v>
      </c>
      <c r="AH53" s="11">
        <f t="shared" si="3"/>
        <v>41696</v>
      </c>
    </row>
    <row r="54" spans="26:34">
      <c r="Z54" s="11" t="s">
        <v>45</v>
      </c>
      <c r="AE54" s="11">
        <v>41690</v>
      </c>
      <c r="AF54" s="12">
        <f t="shared" si="1"/>
        <v>5</v>
      </c>
      <c r="AG54" s="11">
        <f t="shared" si="2"/>
        <v>41695</v>
      </c>
      <c r="AH54" s="11">
        <f t="shared" si="3"/>
        <v>41697</v>
      </c>
    </row>
    <row r="55" spans="26:34">
      <c r="Z55" s="11" t="s">
        <v>46</v>
      </c>
      <c r="AE55" s="11">
        <v>41691</v>
      </c>
      <c r="AF55" s="12">
        <f t="shared" si="1"/>
        <v>6</v>
      </c>
      <c r="AG55" s="11">
        <f t="shared" si="2"/>
        <v>41696</v>
      </c>
      <c r="AH55" s="11">
        <f t="shared" si="3"/>
        <v>41698</v>
      </c>
    </row>
    <row r="56" spans="26:34">
      <c r="Z56" s="11" t="s">
        <v>47</v>
      </c>
      <c r="AE56" s="11">
        <v>41692</v>
      </c>
      <c r="AF56" s="12">
        <f t="shared" si="1"/>
        <v>7</v>
      </c>
      <c r="AG56" s="11">
        <f t="shared" si="2"/>
        <v>41697</v>
      </c>
      <c r="AH56" s="11">
        <f t="shared" si="3"/>
        <v>41701</v>
      </c>
    </row>
    <row r="57" spans="26:34">
      <c r="Z57" s="11" t="s">
        <v>48</v>
      </c>
      <c r="AE57" s="11">
        <v>41693</v>
      </c>
      <c r="AF57" s="12">
        <f t="shared" si="1"/>
        <v>1</v>
      </c>
      <c r="AG57" s="11">
        <f t="shared" si="2"/>
        <v>41697</v>
      </c>
      <c r="AH57" s="11">
        <f t="shared" si="3"/>
        <v>41701</v>
      </c>
    </row>
    <row r="58" spans="26:34">
      <c r="Z58" s="10" t="s">
        <v>49</v>
      </c>
      <c r="AE58" s="11">
        <v>41694</v>
      </c>
      <c r="AF58" s="12">
        <f t="shared" si="1"/>
        <v>2</v>
      </c>
      <c r="AG58" s="11">
        <f t="shared" si="2"/>
        <v>41698</v>
      </c>
      <c r="AH58" s="11">
        <f t="shared" si="3"/>
        <v>41702</v>
      </c>
    </row>
    <row r="59" spans="26:34">
      <c r="Z59" s="10" t="s">
        <v>50</v>
      </c>
      <c r="AE59" s="11">
        <v>41695</v>
      </c>
      <c r="AF59" s="12">
        <f t="shared" si="1"/>
        <v>3</v>
      </c>
      <c r="AG59" s="11">
        <f t="shared" si="2"/>
        <v>41701</v>
      </c>
      <c r="AH59" s="11">
        <f t="shared" si="3"/>
        <v>41703</v>
      </c>
    </row>
    <row r="60" spans="26:34">
      <c r="AE60" s="11">
        <v>41696</v>
      </c>
      <c r="AF60" s="12">
        <f t="shared" si="1"/>
        <v>4</v>
      </c>
      <c r="AG60" s="11">
        <f t="shared" si="2"/>
        <v>41701</v>
      </c>
      <c r="AH60" s="11">
        <f t="shared" si="3"/>
        <v>41703</v>
      </c>
    </row>
    <row r="61" spans="26:34">
      <c r="AE61" s="11">
        <v>41697</v>
      </c>
      <c r="AF61" s="12">
        <f t="shared" si="1"/>
        <v>5</v>
      </c>
      <c r="AG61" s="11">
        <f t="shared" si="2"/>
        <v>41702</v>
      </c>
      <c r="AH61" s="11">
        <f t="shared" si="3"/>
        <v>41704</v>
      </c>
    </row>
    <row r="62" spans="26:34">
      <c r="AE62" s="11">
        <v>41698</v>
      </c>
      <c r="AF62" s="12">
        <f t="shared" si="1"/>
        <v>6</v>
      </c>
      <c r="AG62" s="11">
        <f t="shared" si="2"/>
        <v>41703</v>
      </c>
      <c r="AH62" s="11">
        <f t="shared" si="3"/>
        <v>41705</v>
      </c>
    </row>
    <row r="63" spans="26:34">
      <c r="AE63" s="11">
        <v>41699</v>
      </c>
      <c r="AF63" s="12">
        <f t="shared" si="1"/>
        <v>7</v>
      </c>
      <c r="AG63" s="11">
        <f t="shared" si="2"/>
        <v>41704</v>
      </c>
      <c r="AH63" s="11">
        <f t="shared" si="3"/>
        <v>41708</v>
      </c>
    </row>
    <row r="64" spans="26:34">
      <c r="AE64" s="11">
        <v>41700</v>
      </c>
      <c r="AF64" s="12">
        <f t="shared" si="1"/>
        <v>1</v>
      </c>
      <c r="AG64" s="11">
        <f t="shared" si="2"/>
        <v>41704</v>
      </c>
      <c r="AH64" s="11">
        <f t="shared" si="3"/>
        <v>41708</v>
      </c>
    </row>
    <row r="65" spans="31:34">
      <c r="AE65" s="11">
        <v>41701</v>
      </c>
      <c r="AF65" s="12">
        <f t="shared" si="1"/>
        <v>2</v>
      </c>
      <c r="AG65" s="11">
        <f t="shared" si="2"/>
        <v>41705</v>
      </c>
      <c r="AH65" s="11">
        <f t="shared" si="3"/>
        <v>41709</v>
      </c>
    </row>
    <row r="66" spans="31:34">
      <c r="AE66" s="11">
        <v>41702</v>
      </c>
      <c r="AF66" s="12">
        <f t="shared" si="1"/>
        <v>3</v>
      </c>
      <c r="AG66" s="11">
        <f t="shared" si="2"/>
        <v>41708</v>
      </c>
      <c r="AH66" s="11">
        <f t="shared" si="3"/>
        <v>41710</v>
      </c>
    </row>
    <row r="67" spans="31:34">
      <c r="AE67" s="11">
        <v>41703</v>
      </c>
      <c r="AF67" s="12">
        <f t="shared" si="1"/>
        <v>4</v>
      </c>
      <c r="AG67" s="11">
        <f t="shared" si="2"/>
        <v>41708</v>
      </c>
      <c r="AH67" s="11">
        <f t="shared" si="3"/>
        <v>41710</v>
      </c>
    </row>
    <row r="68" spans="31:34">
      <c r="AE68" s="11">
        <v>41704</v>
      </c>
      <c r="AF68" s="12">
        <f t="shared" si="1"/>
        <v>5</v>
      </c>
      <c r="AG68" s="11">
        <f t="shared" si="2"/>
        <v>41709</v>
      </c>
      <c r="AH68" s="11">
        <f t="shared" si="3"/>
        <v>41711</v>
      </c>
    </row>
    <row r="69" spans="31:34">
      <c r="AE69" s="11">
        <v>41705</v>
      </c>
      <c r="AF69" s="12">
        <f t="shared" ref="AF69:AF132" si="4">WEEKDAY(AE69)</f>
        <v>6</v>
      </c>
      <c r="AG69" s="11">
        <f t="shared" ref="AG69:AG132" si="5">AE69+(VLOOKUP(AF69, $AJ$4:$AK$10, 2, FALSE))</f>
        <v>41710</v>
      </c>
      <c r="AH69" s="11">
        <f t="shared" ref="AH69:AH132" si="6">IFERROR((WORKDAY(AG69, 2, AC$4:AC$53)), "")</f>
        <v>41712</v>
      </c>
    </row>
    <row r="70" spans="31:34">
      <c r="AE70" s="11">
        <v>41706</v>
      </c>
      <c r="AF70" s="12">
        <f t="shared" si="4"/>
        <v>7</v>
      </c>
      <c r="AG70" s="11">
        <f t="shared" si="5"/>
        <v>41711</v>
      </c>
      <c r="AH70" s="11">
        <f t="shared" si="6"/>
        <v>41715</v>
      </c>
    </row>
    <row r="71" spans="31:34">
      <c r="AE71" s="11">
        <v>41707</v>
      </c>
      <c r="AF71" s="12">
        <f t="shared" si="4"/>
        <v>1</v>
      </c>
      <c r="AG71" s="11">
        <f t="shared" si="5"/>
        <v>41711</v>
      </c>
      <c r="AH71" s="11">
        <f t="shared" si="6"/>
        <v>41715</v>
      </c>
    </row>
    <row r="72" spans="31:34">
      <c r="AE72" s="11">
        <v>41708</v>
      </c>
      <c r="AF72" s="12">
        <f t="shared" si="4"/>
        <v>2</v>
      </c>
      <c r="AG72" s="11">
        <f t="shared" si="5"/>
        <v>41712</v>
      </c>
      <c r="AH72" s="11">
        <f t="shared" si="6"/>
        <v>41716</v>
      </c>
    </row>
    <row r="73" spans="31:34">
      <c r="AE73" s="11">
        <v>41709</v>
      </c>
      <c r="AF73" s="12">
        <f t="shared" si="4"/>
        <v>3</v>
      </c>
      <c r="AG73" s="11">
        <f t="shared" si="5"/>
        <v>41715</v>
      </c>
      <c r="AH73" s="11">
        <f t="shared" si="6"/>
        <v>41717</v>
      </c>
    </row>
    <row r="74" spans="31:34">
      <c r="AE74" s="11">
        <v>41710</v>
      </c>
      <c r="AF74" s="12">
        <f t="shared" si="4"/>
        <v>4</v>
      </c>
      <c r="AG74" s="11">
        <f t="shared" si="5"/>
        <v>41715</v>
      </c>
      <c r="AH74" s="11">
        <f t="shared" si="6"/>
        <v>41717</v>
      </c>
    </row>
    <row r="75" spans="31:34">
      <c r="AE75" s="11">
        <v>41711</v>
      </c>
      <c r="AF75" s="12">
        <f t="shared" si="4"/>
        <v>5</v>
      </c>
      <c r="AG75" s="11">
        <f t="shared" si="5"/>
        <v>41716</v>
      </c>
      <c r="AH75" s="11">
        <f t="shared" si="6"/>
        <v>41718</v>
      </c>
    </row>
    <row r="76" spans="31:34">
      <c r="AE76" s="11">
        <v>41712</v>
      </c>
      <c r="AF76" s="12">
        <f t="shared" si="4"/>
        <v>6</v>
      </c>
      <c r="AG76" s="11">
        <f t="shared" si="5"/>
        <v>41717</v>
      </c>
      <c r="AH76" s="11">
        <f t="shared" si="6"/>
        <v>41719</v>
      </c>
    </row>
    <row r="77" spans="31:34">
      <c r="AE77" s="11">
        <v>41713</v>
      </c>
      <c r="AF77" s="12">
        <f t="shared" si="4"/>
        <v>7</v>
      </c>
      <c r="AG77" s="11">
        <f t="shared" si="5"/>
        <v>41718</v>
      </c>
      <c r="AH77" s="11">
        <f t="shared" si="6"/>
        <v>41722</v>
      </c>
    </row>
    <row r="78" spans="31:34">
      <c r="AE78" s="11">
        <v>41714</v>
      </c>
      <c r="AF78" s="12">
        <f t="shared" si="4"/>
        <v>1</v>
      </c>
      <c r="AG78" s="11">
        <f t="shared" si="5"/>
        <v>41718</v>
      </c>
      <c r="AH78" s="11">
        <f t="shared" si="6"/>
        <v>41722</v>
      </c>
    </row>
    <row r="79" spans="31:34">
      <c r="AE79" s="11">
        <v>41715</v>
      </c>
      <c r="AF79" s="12">
        <f t="shared" si="4"/>
        <v>2</v>
      </c>
      <c r="AG79" s="11">
        <f t="shared" si="5"/>
        <v>41719</v>
      </c>
      <c r="AH79" s="11">
        <f t="shared" si="6"/>
        <v>41723</v>
      </c>
    </row>
    <row r="80" spans="31:34">
      <c r="AE80" s="11">
        <v>41716</v>
      </c>
      <c r="AF80" s="12">
        <f t="shared" si="4"/>
        <v>3</v>
      </c>
      <c r="AG80" s="11">
        <f t="shared" si="5"/>
        <v>41722</v>
      </c>
      <c r="AH80" s="11">
        <f t="shared" si="6"/>
        <v>41724</v>
      </c>
    </row>
    <row r="81" spans="31:34">
      <c r="AE81" s="11">
        <v>41717</v>
      </c>
      <c r="AF81" s="12">
        <f t="shared" si="4"/>
        <v>4</v>
      </c>
      <c r="AG81" s="11">
        <f t="shared" si="5"/>
        <v>41722</v>
      </c>
      <c r="AH81" s="11">
        <f t="shared" si="6"/>
        <v>41724</v>
      </c>
    </row>
    <row r="82" spans="31:34">
      <c r="AE82" s="11">
        <v>41718</v>
      </c>
      <c r="AF82" s="12">
        <f t="shared" si="4"/>
        <v>5</v>
      </c>
      <c r="AG82" s="11">
        <f t="shared" si="5"/>
        <v>41723</v>
      </c>
      <c r="AH82" s="11">
        <f t="shared" si="6"/>
        <v>41725</v>
      </c>
    </row>
    <row r="83" spans="31:34">
      <c r="AE83" s="11">
        <v>41719</v>
      </c>
      <c r="AF83" s="12">
        <f t="shared" si="4"/>
        <v>6</v>
      </c>
      <c r="AG83" s="11">
        <f t="shared" si="5"/>
        <v>41724</v>
      </c>
      <c r="AH83" s="11">
        <f t="shared" si="6"/>
        <v>41726</v>
      </c>
    </row>
    <row r="84" spans="31:34">
      <c r="AE84" s="11">
        <v>41720</v>
      </c>
      <c r="AF84" s="12">
        <f t="shared" si="4"/>
        <v>7</v>
      </c>
      <c r="AG84" s="11">
        <f t="shared" si="5"/>
        <v>41725</v>
      </c>
      <c r="AH84" s="11">
        <f t="shared" si="6"/>
        <v>41729</v>
      </c>
    </row>
    <row r="85" spans="31:34">
      <c r="AE85" s="11">
        <v>41721</v>
      </c>
      <c r="AF85" s="12">
        <f t="shared" si="4"/>
        <v>1</v>
      </c>
      <c r="AG85" s="11">
        <f t="shared" si="5"/>
        <v>41725</v>
      </c>
      <c r="AH85" s="11">
        <f t="shared" si="6"/>
        <v>41729</v>
      </c>
    </row>
    <row r="86" spans="31:34">
      <c r="AE86" s="11">
        <v>41722</v>
      </c>
      <c r="AF86" s="12">
        <f t="shared" si="4"/>
        <v>2</v>
      </c>
      <c r="AG86" s="11">
        <f t="shared" si="5"/>
        <v>41726</v>
      </c>
      <c r="AH86" s="11">
        <f t="shared" si="6"/>
        <v>41730</v>
      </c>
    </row>
    <row r="87" spans="31:34">
      <c r="AE87" s="11">
        <v>41723</v>
      </c>
      <c r="AF87" s="12">
        <f t="shared" si="4"/>
        <v>3</v>
      </c>
      <c r="AG87" s="11">
        <f t="shared" si="5"/>
        <v>41729</v>
      </c>
      <c r="AH87" s="11">
        <f t="shared" si="6"/>
        <v>41731</v>
      </c>
    </row>
    <row r="88" spans="31:34">
      <c r="AE88" s="11">
        <v>41724</v>
      </c>
      <c r="AF88" s="12">
        <f t="shared" si="4"/>
        <v>4</v>
      </c>
      <c r="AG88" s="11">
        <f t="shared" si="5"/>
        <v>41729</v>
      </c>
      <c r="AH88" s="11">
        <f t="shared" si="6"/>
        <v>41731</v>
      </c>
    </row>
    <row r="89" spans="31:34">
      <c r="AE89" s="11">
        <v>41725</v>
      </c>
      <c r="AF89" s="12">
        <f t="shared" si="4"/>
        <v>5</v>
      </c>
      <c r="AG89" s="11">
        <f t="shared" si="5"/>
        <v>41730</v>
      </c>
      <c r="AH89" s="11">
        <f t="shared" si="6"/>
        <v>41732</v>
      </c>
    </row>
    <row r="90" spans="31:34">
      <c r="AE90" s="11">
        <v>41726</v>
      </c>
      <c r="AF90" s="12">
        <f t="shared" si="4"/>
        <v>6</v>
      </c>
      <c r="AG90" s="11">
        <f t="shared" si="5"/>
        <v>41731</v>
      </c>
      <c r="AH90" s="11">
        <f t="shared" si="6"/>
        <v>41733</v>
      </c>
    </row>
    <row r="91" spans="31:34">
      <c r="AE91" s="11">
        <v>41727</v>
      </c>
      <c r="AF91" s="12">
        <f t="shared" si="4"/>
        <v>7</v>
      </c>
      <c r="AG91" s="11">
        <f t="shared" si="5"/>
        <v>41732</v>
      </c>
      <c r="AH91" s="11">
        <f t="shared" si="6"/>
        <v>41736</v>
      </c>
    </row>
    <row r="92" spans="31:34">
      <c r="AE92" s="11">
        <v>41728</v>
      </c>
      <c r="AF92" s="12">
        <f t="shared" si="4"/>
        <v>1</v>
      </c>
      <c r="AG92" s="11">
        <f t="shared" si="5"/>
        <v>41732</v>
      </c>
      <c r="AH92" s="11">
        <f t="shared" si="6"/>
        <v>41736</v>
      </c>
    </row>
    <row r="93" spans="31:34">
      <c r="AE93" s="11">
        <v>41729</v>
      </c>
      <c r="AF93" s="12">
        <f t="shared" si="4"/>
        <v>2</v>
      </c>
      <c r="AG93" s="11">
        <f t="shared" si="5"/>
        <v>41733</v>
      </c>
      <c r="AH93" s="11">
        <f t="shared" si="6"/>
        <v>41737</v>
      </c>
    </row>
    <row r="94" spans="31:34">
      <c r="AE94" s="11">
        <v>41730</v>
      </c>
      <c r="AF94" s="12">
        <f t="shared" si="4"/>
        <v>3</v>
      </c>
      <c r="AG94" s="11">
        <f t="shared" si="5"/>
        <v>41736</v>
      </c>
      <c r="AH94" s="11">
        <f t="shared" si="6"/>
        <v>41738</v>
      </c>
    </row>
    <row r="95" spans="31:34">
      <c r="AE95" s="11">
        <v>41731</v>
      </c>
      <c r="AF95" s="12">
        <f t="shared" si="4"/>
        <v>4</v>
      </c>
      <c r="AG95" s="11">
        <f t="shared" si="5"/>
        <v>41736</v>
      </c>
      <c r="AH95" s="11">
        <f t="shared" si="6"/>
        <v>41738</v>
      </c>
    </row>
    <row r="96" spans="31:34">
      <c r="AE96" s="11">
        <v>41732</v>
      </c>
      <c r="AF96" s="12">
        <f t="shared" si="4"/>
        <v>5</v>
      </c>
      <c r="AG96" s="11">
        <f t="shared" si="5"/>
        <v>41737</v>
      </c>
      <c r="AH96" s="11">
        <f t="shared" si="6"/>
        <v>41739</v>
      </c>
    </row>
    <row r="97" spans="31:34">
      <c r="AE97" s="11">
        <v>41733</v>
      </c>
      <c r="AF97" s="12">
        <f t="shared" si="4"/>
        <v>6</v>
      </c>
      <c r="AG97" s="11">
        <f t="shared" si="5"/>
        <v>41738</v>
      </c>
      <c r="AH97" s="11">
        <f t="shared" si="6"/>
        <v>41740</v>
      </c>
    </row>
    <row r="98" spans="31:34">
      <c r="AE98" s="11">
        <v>41734</v>
      </c>
      <c r="AF98" s="12">
        <f t="shared" si="4"/>
        <v>7</v>
      </c>
      <c r="AG98" s="11">
        <f t="shared" si="5"/>
        <v>41739</v>
      </c>
      <c r="AH98" s="11">
        <f t="shared" si="6"/>
        <v>41743</v>
      </c>
    </row>
    <row r="99" spans="31:34">
      <c r="AE99" s="11">
        <v>41735</v>
      </c>
      <c r="AF99" s="12">
        <f t="shared" si="4"/>
        <v>1</v>
      </c>
      <c r="AG99" s="11">
        <f t="shared" si="5"/>
        <v>41739</v>
      </c>
      <c r="AH99" s="11">
        <f t="shared" si="6"/>
        <v>41743</v>
      </c>
    </row>
    <row r="100" spans="31:34">
      <c r="AE100" s="11">
        <v>41736</v>
      </c>
      <c r="AF100" s="12">
        <f t="shared" si="4"/>
        <v>2</v>
      </c>
      <c r="AG100" s="11">
        <f t="shared" si="5"/>
        <v>41740</v>
      </c>
      <c r="AH100" s="11">
        <f t="shared" si="6"/>
        <v>41744</v>
      </c>
    </row>
    <row r="101" spans="31:34">
      <c r="AE101" s="11">
        <v>41737</v>
      </c>
      <c r="AF101" s="12">
        <f t="shared" si="4"/>
        <v>3</v>
      </c>
      <c r="AG101" s="11">
        <f t="shared" si="5"/>
        <v>41743</v>
      </c>
      <c r="AH101" s="11">
        <f t="shared" si="6"/>
        <v>41745</v>
      </c>
    </row>
    <row r="102" spans="31:34">
      <c r="AE102" s="11">
        <v>41738</v>
      </c>
      <c r="AF102" s="12">
        <f t="shared" si="4"/>
        <v>4</v>
      </c>
      <c r="AG102" s="11">
        <f t="shared" si="5"/>
        <v>41743</v>
      </c>
      <c r="AH102" s="11">
        <f t="shared" si="6"/>
        <v>41745</v>
      </c>
    </row>
    <row r="103" spans="31:34">
      <c r="AE103" s="11">
        <v>41739</v>
      </c>
      <c r="AF103" s="12">
        <f t="shared" si="4"/>
        <v>5</v>
      </c>
      <c r="AG103" s="11">
        <f t="shared" si="5"/>
        <v>41744</v>
      </c>
      <c r="AH103" s="11">
        <f t="shared" si="6"/>
        <v>41746</v>
      </c>
    </row>
    <row r="104" spans="31:34">
      <c r="AE104" s="11">
        <v>41740</v>
      </c>
      <c r="AF104" s="12">
        <f t="shared" si="4"/>
        <v>6</v>
      </c>
      <c r="AG104" s="11">
        <f t="shared" si="5"/>
        <v>41745</v>
      </c>
      <c r="AH104" s="11">
        <f t="shared" si="6"/>
        <v>41747</v>
      </c>
    </row>
    <row r="105" spans="31:34">
      <c r="AE105" s="11">
        <v>41741</v>
      </c>
      <c r="AF105" s="12">
        <f t="shared" si="4"/>
        <v>7</v>
      </c>
      <c r="AG105" s="11">
        <f t="shared" si="5"/>
        <v>41746</v>
      </c>
      <c r="AH105" s="11">
        <f t="shared" si="6"/>
        <v>41750</v>
      </c>
    </row>
    <row r="106" spans="31:34">
      <c r="AE106" s="11">
        <v>41742</v>
      </c>
      <c r="AF106" s="12">
        <f t="shared" si="4"/>
        <v>1</v>
      </c>
      <c r="AG106" s="11">
        <f t="shared" si="5"/>
        <v>41746</v>
      </c>
      <c r="AH106" s="11">
        <f t="shared" si="6"/>
        <v>41750</v>
      </c>
    </row>
    <row r="107" spans="31:34">
      <c r="AE107" s="11">
        <v>41743</v>
      </c>
      <c r="AF107" s="12">
        <f t="shared" si="4"/>
        <v>2</v>
      </c>
      <c r="AG107" s="11">
        <f t="shared" si="5"/>
        <v>41747</v>
      </c>
      <c r="AH107" s="11">
        <f t="shared" si="6"/>
        <v>41751</v>
      </c>
    </row>
    <row r="108" spans="31:34">
      <c r="AE108" s="11">
        <v>41744</v>
      </c>
      <c r="AF108" s="12">
        <f t="shared" si="4"/>
        <v>3</v>
      </c>
      <c r="AG108" s="11">
        <f t="shared" si="5"/>
        <v>41750</v>
      </c>
      <c r="AH108" s="11">
        <f t="shared" si="6"/>
        <v>41752</v>
      </c>
    </row>
    <row r="109" spans="31:34">
      <c r="AE109" s="11">
        <v>41745</v>
      </c>
      <c r="AF109" s="12">
        <f t="shared" si="4"/>
        <v>4</v>
      </c>
      <c r="AG109" s="11">
        <f t="shared" si="5"/>
        <v>41750</v>
      </c>
      <c r="AH109" s="11">
        <f t="shared" si="6"/>
        <v>41752</v>
      </c>
    </row>
    <row r="110" spans="31:34">
      <c r="AE110" s="11">
        <v>41746</v>
      </c>
      <c r="AF110" s="12">
        <f t="shared" si="4"/>
        <v>5</v>
      </c>
      <c r="AG110" s="11">
        <f t="shared" si="5"/>
        <v>41751</v>
      </c>
      <c r="AH110" s="11">
        <f t="shared" si="6"/>
        <v>41753</v>
      </c>
    </row>
    <row r="111" spans="31:34">
      <c r="AE111" s="11">
        <v>41747</v>
      </c>
      <c r="AF111" s="12">
        <f t="shared" si="4"/>
        <v>6</v>
      </c>
      <c r="AG111" s="11">
        <f t="shared" si="5"/>
        <v>41752</v>
      </c>
      <c r="AH111" s="11">
        <f t="shared" si="6"/>
        <v>41754</v>
      </c>
    </row>
    <row r="112" spans="31:34">
      <c r="AE112" s="11">
        <v>41748</v>
      </c>
      <c r="AF112" s="12">
        <f t="shared" si="4"/>
        <v>7</v>
      </c>
      <c r="AG112" s="11">
        <f t="shared" si="5"/>
        <v>41753</v>
      </c>
      <c r="AH112" s="11">
        <f t="shared" si="6"/>
        <v>41757</v>
      </c>
    </row>
    <row r="113" spans="31:34">
      <c r="AE113" s="11">
        <v>41749</v>
      </c>
      <c r="AF113" s="12">
        <f t="shared" si="4"/>
        <v>1</v>
      </c>
      <c r="AG113" s="11">
        <f t="shared" si="5"/>
        <v>41753</v>
      </c>
      <c r="AH113" s="11">
        <f t="shared" si="6"/>
        <v>41757</v>
      </c>
    </row>
    <row r="114" spans="31:34">
      <c r="AE114" s="11">
        <v>41750</v>
      </c>
      <c r="AF114" s="12">
        <f t="shared" si="4"/>
        <v>2</v>
      </c>
      <c r="AG114" s="11">
        <f t="shared" si="5"/>
        <v>41754</v>
      </c>
      <c r="AH114" s="11">
        <f t="shared" si="6"/>
        <v>41758</v>
      </c>
    </row>
    <row r="115" spans="31:34">
      <c r="AE115" s="11">
        <v>41751</v>
      </c>
      <c r="AF115" s="12">
        <f t="shared" si="4"/>
        <v>3</v>
      </c>
      <c r="AG115" s="11">
        <f t="shared" si="5"/>
        <v>41757</v>
      </c>
      <c r="AH115" s="11">
        <f t="shared" si="6"/>
        <v>41759</v>
      </c>
    </row>
    <row r="116" spans="31:34">
      <c r="AE116" s="11">
        <v>41752</v>
      </c>
      <c r="AF116" s="12">
        <f t="shared" si="4"/>
        <v>4</v>
      </c>
      <c r="AG116" s="11">
        <f t="shared" si="5"/>
        <v>41757</v>
      </c>
      <c r="AH116" s="11">
        <f t="shared" si="6"/>
        <v>41759</v>
      </c>
    </row>
    <row r="117" spans="31:34">
      <c r="AE117" s="11">
        <v>41753</v>
      </c>
      <c r="AF117" s="12">
        <f t="shared" si="4"/>
        <v>5</v>
      </c>
      <c r="AG117" s="11">
        <f t="shared" si="5"/>
        <v>41758</v>
      </c>
      <c r="AH117" s="11">
        <f t="shared" si="6"/>
        <v>41760</v>
      </c>
    </row>
    <row r="118" spans="31:34">
      <c r="AE118" s="11">
        <v>41754</v>
      </c>
      <c r="AF118" s="12">
        <f t="shared" si="4"/>
        <v>6</v>
      </c>
      <c r="AG118" s="11">
        <f t="shared" si="5"/>
        <v>41759</v>
      </c>
      <c r="AH118" s="11">
        <f t="shared" si="6"/>
        <v>41761</v>
      </c>
    </row>
    <row r="119" spans="31:34">
      <c r="AE119" s="11">
        <v>41755</v>
      </c>
      <c r="AF119" s="12">
        <f t="shared" si="4"/>
        <v>7</v>
      </c>
      <c r="AG119" s="11">
        <f t="shared" si="5"/>
        <v>41760</v>
      </c>
      <c r="AH119" s="11">
        <f t="shared" si="6"/>
        <v>41764</v>
      </c>
    </row>
    <row r="120" spans="31:34">
      <c r="AE120" s="11">
        <v>41756</v>
      </c>
      <c r="AF120" s="12">
        <f t="shared" si="4"/>
        <v>1</v>
      </c>
      <c r="AG120" s="11">
        <f t="shared" si="5"/>
        <v>41760</v>
      </c>
      <c r="AH120" s="11">
        <f t="shared" si="6"/>
        <v>41764</v>
      </c>
    </row>
    <row r="121" spans="31:34">
      <c r="AE121" s="11">
        <v>41757</v>
      </c>
      <c r="AF121" s="12">
        <f t="shared" si="4"/>
        <v>2</v>
      </c>
      <c r="AG121" s="11">
        <f t="shared" si="5"/>
        <v>41761</v>
      </c>
      <c r="AH121" s="11">
        <f t="shared" si="6"/>
        <v>41765</v>
      </c>
    </row>
    <row r="122" spans="31:34">
      <c r="AE122" s="11">
        <v>41758</v>
      </c>
      <c r="AF122" s="12">
        <f t="shared" si="4"/>
        <v>3</v>
      </c>
      <c r="AG122" s="11">
        <f t="shared" si="5"/>
        <v>41764</v>
      </c>
      <c r="AH122" s="11">
        <f t="shared" si="6"/>
        <v>41766</v>
      </c>
    </row>
    <row r="123" spans="31:34">
      <c r="AE123" s="11">
        <v>41759</v>
      </c>
      <c r="AF123" s="12">
        <f t="shared" si="4"/>
        <v>4</v>
      </c>
      <c r="AG123" s="11">
        <f t="shared" si="5"/>
        <v>41764</v>
      </c>
      <c r="AH123" s="11">
        <f t="shared" si="6"/>
        <v>41766</v>
      </c>
    </row>
    <row r="124" spans="31:34">
      <c r="AE124" s="11">
        <v>41760</v>
      </c>
      <c r="AF124" s="12">
        <f t="shared" si="4"/>
        <v>5</v>
      </c>
      <c r="AG124" s="11">
        <f t="shared" si="5"/>
        <v>41765</v>
      </c>
      <c r="AH124" s="11">
        <f t="shared" si="6"/>
        <v>41767</v>
      </c>
    </row>
    <row r="125" spans="31:34">
      <c r="AE125" s="11">
        <v>41761</v>
      </c>
      <c r="AF125" s="12">
        <f t="shared" si="4"/>
        <v>6</v>
      </c>
      <c r="AG125" s="11">
        <f t="shared" si="5"/>
        <v>41766</v>
      </c>
      <c r="AH125" s="11">
        <f t="shared" si="6"/>
        <v>41768</v>
      </c>
    </row>
    <row r="126" spans="31:34">
      <c r="AE126" s="11">
        <v>41762</v>
      </c>
      <c r="AF126" s="12">
        <f t="shared" si="4"/>
        <v>7</v>
      </c>
      <c r="AG126" s="11">
        <f t="shared" si="5"/>
        <v>41767</v>
      </c>
      <c r="AH126" s="11">
        <f t="shared" si="6"/>
        <v>41771</v>
      </c>
    </row>
    <row r="127" spans="31:34">
      <c r="AE127" s="11">
        <v>41763</v>
      </c>
      <c r="AF127" s="12">
        <f t="shared" si="4"/>
        <v>1</v>
      </c>
      <c r="AG127" s="11">
        <f t="shared" si="5"/>
        <v>41767</v>
      </c>
      <c r="AH127" s="11">
        <f t="shared" si="6"/>
        <v>41771</v>
      </c>
    </row>
    <row r="128" spans="31:34">
      <c r="AE128" s="11">
        <v>41764</v>
      </c>
      <c r="AF128" s="12">
        <f t="shared" si="4"/>
        <v>2</v>
      </c>
      <c r="AG128" s="11">
        <f t="shared" si="5"/>
        <v>41768</v>
      </c>
      <c r="AH128" s="11">
        <f t="shared" si="6"/>
        <v>41772</v>
      </c>
    </row>
    <row r="129" spans="29:34">
      <c r="AC129" s="21"/>
      <c r="AE129" s="11">
        <v>41765</v>
      </c>
      <c r="AF129" s="12">
        <f t="shared" si="4"/>
        <v>3</v>
      </c>
      <c r="AG129" s="11">
        <f t="shared" si="5"/>
        <v>41771</v>
      </c>
      <c r="AH129" s="11">
        <f t="shared" si="6"/>
        <v>41773</v>
      </c>
    </row>
    <row r="130" spans="29:34">
      <c r="AC130" s="21"/>
      <c r="AE130" s="11">
        <v>41766</v>
      </c>
      <c r="AF130" s="12">
        <f t="shared" si="4"/>
        <v>4</v>
      </c>
      <c r="AG130" s="11">
        <f t="shared" si="5"/>
        <v>41771</v>
      </c>
      <c r="AH130" s="11">
        <f t="shared" si="6"/>
        <v>41773</v>
      </c>
    </row>
    <row r="131" spans="29:34">
      <c r="AC131" s="21"/>
      <c r="AE131" s="11">
        <v>41767</v>
      </c>
      <c r="AF131" s="12">
        <f t="shared" si="4"/>
        <v>5</v>
      </c>
      <c r="AG131" s="11">
        <f t="shared" si="5"/>
        <v>41772</v>
      </c>
      <c r="AH131" s="11">
        <f t="shared" si="6"/>
        <v>41774</v>
      </c>
    </row>
    <row r="132" spans="29:34">
      <c r="AC132" s="21"/>
      <c r="AE132" s="11">
        <v>41768</v>
      </c>
      <c r="AF132" s="12">
        <f t="shared" si="4"/>
        <v>6</v>
      </c>
      <c r="AG132" s="11">
        <f t="shared" si="5"/>
        <v>41773</v>
      </c>
      <c r="AH132" s="11">
        <f t="shared" si="6"/>
        <v>41775</v>
      </c>
    </row>
    <row r="133" spans="29:34">
      <c r="AC133" s="21"/>
      <c r="AE133" s="11">
        <v>41769</v>
      </c>
      <c r="AF133" s="12">
        <f t="shared" ref="AF133:AF196" si="7">WEEKDAY(AE133)</f>
        <v>7</v>
      </c>
      <c r="AG133" s="11">
        <f t="shared" ref="AG133:AG196" si="8">AE133+(VLOOKUP(AF133, $AJ$4:$AK$10, 2, FALSE))</f>
        <v>41774</v>
      </c>
      <c r="AH133" s="11">
        <f t="shared" ref="AH133:AH196" si="9">IFERROR((WORKDAY(AG133, 2, AC$4:AC$53)), "")</f>
        <v>41778</v>
      </c>
    </row>
    <row r="134" spans="29:34">
      <c r="AC134" s="21"/>
      <c r="AE134" s="11">
        <v>41770</v>
      </c>
      <c r="AF134" s="12">
        <f t="shared" si="7"/>
        <v>1</v>
      </c>
      <c r="AG134" s="11">
        <f t="shared" si="8"/>
        <v>41774</v>
      </c>
      <c r="AH134" s="11">
        <f t="shared" si="9"/>
        <v>41778</v>
      </c>
    </row>
    <row r="135" spans="29:34">
      <c r="AC135" s="21"/>
      <c r="AE135" s="11">
        <v>41771</v>
      </c>
      <c r="AF135" s="12">
        <f t="shared" si="7"/>
        <v>2</v>
      </c>
      <c r="AG135" s="11">
        <f t="shared" si="8"/>
        <v>41775</v>
      </c>
      <c r="AH135" s="11">
        <f t="shared" si="9"/>
        <v>41779</v>
      </c>
    </row>
    <row r="136" spans="29:34">
      <c r="AC136" s="21"/>
      <c r="AE136" s="11">
        <v>41772</v>
      </c>
      <c r="AF136" s="12">
        <f t="shared" si="7"/>
        <v>3</v>
      </c>
      <c r="AG136" s="11">
        <f t="shared" si="8"/>
        <v>41778</v>
      </c>
      <c r="AH136" s="11">
        <f t="shared" si="9"/>
        <v>41780</v>
      </c>
    </row>
    <row r="137" spans="29:34">
      <c r="AC137" s="21"/>
      <c r="AE137" s="11">
        <v>41773</v>
      </c>
      <c r="AF137" s="12">
        <f t="shared" si="7"/>
        <v>4</v>
      </c>
      <c r="AG137" s="11">
        <f t="shared" si="8"/>
        <v>41778</v>
      </c>
      <c r="AH137" s="11">
        <f t="shared" si="9"/>
        <v>41780</v>
      </c>
    </row>
    <row r="138" spans="29:34">
      <c r="AC138" s="21"/>
      <c r="AE138" s="11">
        <v>41774</v>
      </c>
      <c r="AF138" s="12">
        <f t="shared" si="7"/>
        <v>5</v>
      </c>
      <c r="AG138" s="11">
        <f t="shared" si="8"/>
        <v>41779</v>
      </c>
      <c r="AH138" s="11">
        <f t="shared" si="9"/>
        <v>41781</v>
      </c>
    </row>
    <row r="139" spans="29:34">
      <c r="AC139" s="21"/>
      <c r="AE139" s="11">
        <v>41775</v>
      </c>
      <c r="AF139" s="12">
        <f t="shared" si="7"/>
        <v>6</v>
      </c>
      <c r="AG139" s="11">
        <f t="shared" si="8"/>
        <v>41780</v>
      </c>
      <c r="AH139" s="11">
        <f t="shared" si="9"/>
        <v>41782</v>
      </c>
    </row>
    <row r="140" spans="29:34">
      <c r="AC140" s="21"/>
      <c r="AE140" s="11">
        <v>41776</v>
      </c>
      <c r="AF140" s="12">
        <f t="shared" si="7"/>
        <v>7</v>
      </c>
      <c r="AG140" s="11">
        <f t="shared" si="8"/>
        <v>41781</v>
      </c>
      <c r="AH140" s="11">
        <f t="shared" si="9"/>
        <v>41786</v>
      </c>
    </row>
    <row r="141" spans="29:34">
      <c r="AC141" s="21"/>
      <c r="AE141" s="11">
        <v>41777</v>
      </c>
      <c r="AF141" s="12">
        <f t="shared" si="7"/>
        <v>1</v>
      </c>
      <c r="AG141" s="11">
        <f t="shared" si="8"/>
        <v>41781</v>
      </c>
      <c r="AH141" s="11">
        <f t="shared" si="9"/>
        <v>41786</v>
      </c>
    </row>
    <row r="142" spans="29:34">
      <c r="AC142" s="21"/>
      <c r="AE142" s="11">
        <v>41778</v>
      </c>
      <c r="AF142" s="12">
        <f t="shared" si="7"/>
        <v>2</v>
      </c>
      <c r="AG142" s="11">
        <f t="shared" si="8"/>
        <v>41782</v>
      </c>
      <c r="AH142" s="11">
        <f t="shared" si="9"/>
        <v>41787</v>
      </c>
    </row>
    <row r="143" spans="29:34">
      <c r="AC143" s="21"/>
      <c r="AE143" s="11">
        <v>41779</v>
      </c>
      <c r="AF143" s="12">
        <f t="shared" si="7"/>
        <v>3</v>
      </c>
      <c r="AG143" s="11">
        <v>41786</v>
      </c>
      <c r="AH143" s="11">
        <f t="shared" si="9"/>
        <v>41788</v>
      </c>
    </row>
    <row r="144" spans="29:34">
      <c r="AC144" s="21"/>
      <c r="AE144" s="11">
        <v>41780</v>
      </c>
      <c r="AF144" s="12">
        <f t="shared" si="7"/>
        <v>4</v>
      </c>
      <c r="AG144" s="11">
        <v>41786</v>
      </c>
      <c r="AH144" s="11">
        <f t="shared" si="9"/>
        <v>41788</v>
      </c>
    </row>
    <row r="145" spans="29:34">
      <c r="AC145" s="21"/>
      <c r="AE145" s="11">
        <v>41781</v>
      </c>
      <c r="AF145" s="12">
        <f t="shared" si="7"/>
        <v>5</v>
      </c>
      <c r="AG145" s="11">
        <v>41787</v>
      </c>
      <c r="AH145" s="11">
        <f t="shared" si="9"/>
        <v>41789</v>
      </c>
    </row>
    <row r="146" spans="29:34">
      <c r="AC146" s="21"/>
      <c r="AE146" s="11">
        <v>41782</v>
      </c>
      <c r="AF146" s="12">
        <f t="shared" si="7"/>
        <v>6</v>
      </c>
      <c r="AG146" s="11">
        <v>41788</v>
      </c>
      <c r="AH146" s="11">
        <f t="shared" si="9"/>
        <v>41792</v>
      </c>
    </row>
    <row r="147" spans="29:34">
      <c r="AC147" s="21"/>
      <c r="AE147" s="11">
        <v>41783</v>
      </c>
      <c r="AF147" s="12">
        <f t="shared" si="7"/>
        <v>7</v>
      </c>
      <c r="AG147" s="11">
        <v>41789</v>
      </c>
      <c r="AH147" s="11">
        <f t="shared" si="9"/>
        <v>41793</v>
      </c>
    </row>
    <row r="148" spans="29:34">
      <c r="AC148" s="21"/>
      <c r="AE148" s="11">
        <v>41784</v>
      </c>
      <c r="AF148" s="12">
        <f t="shared" si="7"/>
        <v>1</v>
      </c>
      <c r="AG148" s="11">
        <v>41789</v>
      </c>
      <c r="AH148" s="11">
        <f t="shared" si="9"/>
        <v>41793</v>
      </c>
    </row>
    <row r="149" spans="29:34">
      <c r="AC149" s="21"/>
      <c r="AE149" s="11">
        <v>41785</v>
      </c>
      <c r="AF149" s="12">
        <f t="shared" si="7"/>
        <v>2</v>
      </c>
      <c r="AG149" s="11">
        <f t="shared" si="8"/>
        <v>41789</v>
      </c>
      <c r="AH149" s="11">
        <f t="shared" si="9"/>
        <v>41793</v>
      </c>
    </row>
    <row r="150" spans="29:34">
      <c r="AC150" s="21"/>
      <c r="AE150" s="11">
        <v>41786</v>
      </c>
      <c r="AF150" s="12">
        <f t="shared" si="7"/>
        <v>3</v>
      </c>
      <c r="AG150" s="11">
        <f t="shared" si="8"/>
        <v>41792</v>
      </c>
      <c r="AH150" s="11">
        <f t="shared" si="9"/>
        <v>41794</v>
      </c>
    </row>
    <row r="151" spans="29:34">
      <c r="AC151" s="21"/>
      <c r="AE151" s="11">
        <v>41787</v>
      </c>
      <c r="AF151" s="12">
        <f t="shared" si="7"/>
        <v>4</v>
      </c>
      <c r="AG151" s="11">
        <f t="shared" si="8"/>
        <v>41792</v>
      </c>
      <c r="AH151" s="11">
        <f t="shared" si="9"/>
        <v>41794</v>
      </c>
    </row>
    <row r="152" spans="29:34">
      <c r="AC152" s="21"/>
      <c r="AE152" s="11">
        <v>41788</v>
      </c>
      <c r="AF152" s="12">
        <f t="shared" si="7"/>
        <v>5</v>
      </c>
      <c r="AG152" s="11">
        <f t="shared" si="8"/>
        <v>41793</v>
      </c>
      <c r="AH152" s="11">
        <f t="shared" si="9"/>
        <v>41795</v>
      </c>
    </row>
    <row r="153" spans="29:34">
      <c r="AC153" s="21"/>
      <c r="AE153" s="11">
        <v>41789</v>
      </c>
      <c r="AF153" s="12">
        <f t="shared" si="7"/>
        <v>6</v>
      </c>
      <c r="AG153" s="11">
        <f t="shared" si="8"/>
        <v>41794</v>
      </c>
      <c r="AH153" s="11">
        <f t="shared" si="9"/>
        <v>41796</v>
      </c>
    </row>
    <row r="154" spans="29:34">
      <c r="AC154" s="21"/>
      <c r="AE154" s="11">
        <v>41790</v>
      </c>
      <c r="AF154" s="12">
        <f t="shared" si="7"/>
        <v>7</v>
      </c>
      <c r="AG154" s="11">
        <f t="shared" si="8"/>
        <v>41795</v>
      </c>
      <c r="AH154" s="11">
        <f t="shared" si="9"/>
        <v>41799</v>
      </c>
    </row>
    <row r="155" spans="29:34">
      <c r="AC155" s="21"/>
      <c r="AE155" s="11">
        <v>41791</v>
      </c>
      <c r="AF155" s="12">
        <f t="shared" si="7"/>
        <v>1</v>
      </c>
      <c r="AG155" s="11">
        <f t="shared" si="8"/>
        <v>41795</v>
      </c>
      <c r="AH155" s="11">
        <f t="shared" si="9"/>
        <v>41799</v>
      </c>
    </row>
    <row r="156" spans="29:34">
      <c r="AC156" s="21"/>
      <c r="AE156" s="11">
        <v>41792</v>
      </c>
      <c r="AF156" s="12">
        <f t="shared" si="7"/>
        <v>2</v>
      </c>
      <c r="AG156" s="11">
        <f t="shared" si="8"/>
        <v>41796</v>
      </c>
      <c r="AH156" s="11">
        <f t="shared" si="9"/>
        <v>41800</v>
      </c>
    </row>
    <row r="157" spans="29:34">
      <c r="AC157" s="21"/>
      <c r="AE157" s="11">
        <v>41793</v>
      </c>
      <c r="AF157" s="12">
        <f t="shared" si="7"/>
        <v>3</v>
      </c>
      <c r="AG157" s="11">
        <f t="shared" si="8"/>
        <v>41799</v>
      </c>
      <c r="AH157" s="11">
        <f t="shared" si="9"/>
        <v>41801</v>
      </c>
    </row>
    <row r="158" spans="29:34">
      <c r="AC158" s="21"/>
      <c r="AE158" s="11">
        <v>41794</v>
      </c>
      <c r="AF158" s="12">
        <f t="shared" si="7"/>
        <v>4</v>
      </c>
      <c r="AG158" s="11">
        <f t="shared" si="8"/>
        <v>41799</v>
      </c>
      <c r="AH158" s="11">
        <f t="shared" si="9"/>
        <v>41801</v>
      </c>
    </row>
    <row r="159" spans="29:34">
      <c r="AC159" s="21"/>
      <c r="AE159" s="11">
        <v>41795</v>
      </c>
      <c r="AF159" s="12">
        <f t="shared" si="7"/>
        <v>5</v>
      </c>
      <c r="AG159" s="11">
        <f t="shared" si="8"/>
        <v>41800</v>
      </c>
      <c r="AH159" s="11">
        <f t="shared" si="9"/>
        <v>41802</v>
      </c>
    </row>
    <row r="160" spans="29:34">
      <c r="AC160" s="21"/>
      <c r="AE160" s="11">
        <v>41796</v>
      </c>
      <c r="AF160" s="12">
        <f t="shared" si="7"/>
        <v>6</v>
      </c>
      <c r="AG160" s="11">
        <f t="shared" si="8"/>
        <v>41801</v>
      </c>
      <c r="AH160" s="11">
        <f t="shared" si="9"/>
        <v>41803</v>
      </c>
    </row>
    <row r="161" spans="29:34">
      <c r="AC161" s="21"/>
      <c r="AE161" s="11">
        <v>41797</v>
      </c>
      <c r="AF161" s="12">
        <f t="shared" si="7"/>
        <v>7</v>
      </c>
      <c r="AG161" s="11">
        <f t="shared" si="8"/>
        <v>41802</v>
      </c>
      <c r="AH161" s="11">
        <f t="shared" si="9"/>
        <v>41806</v>
      </c>
    </row>
    <row r="162" spans="29:34">
      <c r="AC162" s="21"/>
      <c r="AE162" s="11">
        <v>41798</v>
      </c>
      <c r="AF162" s="12">
        <f t="shared" si="7"/>
        <v>1</v>
      </c>
      <c r="AG162" s="11">
        <f t="shared" si="8"/>
        <v>41802</v>
      </c>
      <c r="AH162" s="11">
        <f t="shared" si="9"/>
        <v>41806</v>
      </c>
    </row>
    <row r="163" spans="29:34">
      <c r="AC163" s="21"/>
      <c r="AE163" s="11">
        <v>41799</v>
      </c>
      <c r="AF163" s="12">
        <f t="shared" si="7"/>
        <v>2</v>
      </c>
      <c r="AG163" s="11">
        <f t="shared" si="8"/>
        <v>41803</v>
      </c>
      <c r="AH163" s="11">
        <f t="shared" si="9"/>
        <v>41807</v>
      </c>
    </row>
    <row r="164" spans="29:34">
      <c r="AC164" s="21"/>
      <c r="AE164" s="11">
        <v>41800</v>
      </c>
      <c r="AF164" s="12">
        <f t="shared" si="7"/>
        <v>3</v>
      </c>
      <c r="AG164" s="11">
        <f t="shared" si="8"/>
        <v>41806</v>
      </c>
      <c r="AH164" s="11">
        <f t="shared" si="9"/>
        <v>41808</v>
      </c>
    </row>
    <row r="165" spans="29:34">
      <c r="AC165" s="21"/>
      <c r="AE165" s="11">
        <v>41801</v>
      </c>
      <c r="AF165" s="12">
        <f t="shared" si="7"/>
        <v>4</v>
      </c>
      <c r="AG165" s="11">
        <f t="shared" si="8"/>
        <v>41806</v>
      </c>
      <c r="AH165" s="11">
        <f t="shared" si="9"/>
        <v>41808</v>
      </c>
    </row>
    <row r="166" spans="29:34">
      <c r="AC166" s="21"/>
      <c r="AE166" s="11">
        <v>41802</v>
      </c>
      <c r="AF166" s="12">
        <f t="shared" si="7"/>
        <v>5</v>
      </c>
      <c r="AG166" s="11">
        <f t="shared" si="8"/>
        <v>41807</v>
      </c>
      <c r="AH166" s="11">
        <f t="shared" si="9"/>
        <v>41809</v>
      </c>
    </row>
    <row r="167" spans="29:34">
      <c r="AC167" s="21"/>
      <c r="AE167" s="11">
        <v>41803</v>
      </c>
      <c r="AF167" s="12">
        <f t="shared" si="7"/>
        <v>6</v>
      </c>
      <c r="AG167" s="11">
        <f t="shared" si="8"/>
        <v>41808</v>
      </c>
      <c r="AH167" s="11">
        <f t="shared" si="9"/>
        <v>41810</v>
      </c>
    </row>
    <row r="168" spans="29:34">
      <c r="AC168" s="21"/>
      <c r="AE168" s="11">
        <v>41804</v>
      </c>
      <c r="AF168" s="12">
        <f t="shared" si="7"/>
        <v>7</v>
      </c>
      <c r="AG168" s="11">
        <f t="shared" si="8"/>
        <v>41809</v>
      </c>
      <c r="AH168" s="11">
        <f t="shared" si="9"/>
        <v>41813</v>
      </c>
    </row>
    <row r="169" spans="29:34">
      <c r="AC169" s="21"/>
      <c r="AE169" s="11">
        <v>41805</v>
      </c>
      <c r="AF169" s="12">
        <f t="shared" si="7"/>
        <v>1</v>
      </c>
      <c r="AG169" s="11">
        <f t="shared" si="8"/>
        <v>41809</v>
      </c>
      <c r="AH169" s="11">
        <f t="shared" si="9"/>
        <v>41813</v>
      </c>
    </row>
    <row r="170" spans="29:34">
      <c r="AC170" s="21"/>
      <c r="AE170" s="11">
        <v>41806</v>
      </c>
      <c r="AF170" s="12">
        <f t="shared" si="7"/>
        <v>2</v>
      </c>
      <c r="AG170" s="11">
        <f t="shared" si="8"/>
        <v>41810</v>
      </c>
      <c r="AH170" s="11">
        <f t="shared" si="9"/>
        <v>41814</v>
      </c>
    </row>
    <row r="171" spans="29:34">
      <c r="AC171" s="21"/>
      <c r="AE171" s="11">
        <v>41807</v>
      </c>
      <c r="AF171" s="12">
        <f t="shared" si="7"/>
        <v>3</v>
      </c>
      <c r="AG171" s="11">
        <f t="shared" si="8"/>
        <v>41813</v>
      </c>
      <c r="AH171" s="11">
        <f t="shared" si="9"/>
        <v>41815</v>
      </c>
    </row>
    <row r="172" spans="29:34">
      <c r="AC172" s="21"/>
      <c r="AE172" s="11">
        <v>41808</v>
      </c>
      <c r="AF172" s="12">
        <f t="shared" si="7"/>
        <v>4</v>
      </c>
      <c r="AG172" s="11">
        <f t="shared" si="8"/>
        <v>41813</v>
      </c>
      <c r="AH172" s="11">
        <f t="shared" si="9"/>
        <v>41815</v>
      </c>
    </row>
    <row r="173" spans="29:34">
      <c r="AC173" s="21"/>
      <c r="AE173" s="11">
        <v>41809</v>
      </c>
      <c r="AF173" s="12">
        <f t="shared" si="7"/>
        <v>5</v>
      </c>
      <c r="AG173" s="11">
        <f t="shared" si="8"/>
        <v>41814</v>
      </c>
      <c r="AH173" s="11">
        <f t="shared" si="9"/>
        <v>41816</v>
      </c>
    </row>
    <row r="174" spans="29:34">
      <c r="AC174" s="21"/>
      <c r="AE174" s="11">
        <v>41810</v>
      </c>
      <c r="AF174" s="12">
        <f t="shared" si="7"/>
        <v>6</v>
      </c>
      <c r="AG174" s="11">
        <f t="shared" si="8"/>
        <v>41815</v>
      </c>
      <c r="AH174" s="11">
        <f t="shared" si="9"/>
        <v>41817</v>
      </c>
    </row>
    <row r="175" spans="29:34">
      <c r="AC175" s="21"/>
      <c r="AE175" s="11">
        <v>41811</v>
      </c>
      <c r="AF175" s="12">
        <f t="shared" si="7"/>
        <v>7</v>
      </c>
      <c r="AG175" s="11">
        <f t="shared" si="8"/>
        <v>41816</v>
      </c>
      <c r="AH175" s="11">
        <f t="shared" si="9"/>
        <v>41820</v>
      </c>
    </row>
    <row r="176" spans="29:34">
      <c r="AC176" s="21"/>
      <c r="AE176" s="11">
        <v>41812</v>
      </c>
      <c r="AF176" s="12">
        <f t="shared" si="7"/>
        <v>1</v>
      </c>
      <c r="AG176" s="11">
        <f t="shared" si="8"/>
        <v>41816</v>
      </c>
      <c r="AH176" s="11">
        <f t="shared" si="9"/>
        <v>41820</v>
      </c>
    </row>
    <row r="177" spans="29:34">
      <c r="AC177" s="21"/>
      <c r="AE177" s="11">
        <v>41813</v>
      </c>
      <c r="AF177" s="12">
        <f t="shared" si="7"/>
        <v>2</v>
      </c>
      <c r="AG177" s="11">
        <f t="shared" si="8"/>
        <v>41817</v>
      </c>
      <c r="AH177" s="11">
        <f t="shared" si="9"/>
        <v>41821</v>
      </c>
    </row>
    <row r="178" spans="29:34">
      <c r="AC178" s="21"/>
      <c r="AE178" s="11">
        <v>41814</v>
      </c>
      <c r="AF178" s="12">
        <f t="shared" si="7"/>
        <v>3</v>
      </c>
      <c r="AG178" s="11">
        <f t="shared" si="8"/>
        <v>41820</v>
      </c>
      <c r="AH178" s="11">
        <f t="shared" si="9"/>
        <v>41822</v>
      </c>
    </row>
    <row r="179" spans="29:34">
      <c r="AC179" s="21"/>
      <c r="AE179" s="11">
        <v>41815</v>
      </c>
      <c r="AF179" s="12">
        <f t="shared" si="7"/>
        <v>4</v>
      </c>
      <c r="AG179" s="11">
        <f t="shared" si="8"/>
        <v>41820</v>
      </c>
      <c r="AH179" s="11">
        <f t="shared" si="9"/>
        <v>41822</v>
      </c>
    </row>
    <row r="180" spans="29:34">
      <c r="AC180" s="21"/>
      <c r="AE180" s="11">
        <v>41816</v>
      </c>
      <c r="AF180" s="12">
        <f t="shared" si="7"/>
        <v>5</v>
      </c>
      <c r="AG180" s="11">
        <f t="shared" si="8"/>
        <v>41821</v>
      </c>
      <c r="AH180" s="11">
        <f t="shared" si="9"/>
        <v>41823</v>
      </c>
    </row>
    <row r="181" spans="29:34">
      <c r="AC181" s="21"/>
      <c r="AE181" s="11">
        <v>41817</v>
      </c>
      <c r="AF181" s="12">
        <f t="shared" si="7"/>
        <v>6</v>
      </c>
      <c r="AG181" s="11">
        <f t="shared" si="8"/>
        <v>41822</v>
      </c>
      <c r="AH181" s="11">
        <f t="shared" si="9"/>
        <v>41827</v>
      </c>
    </row>
    <row r="182" spans="29:34">
      <c r="AC182" s="21"/>
      <c r="AE182" s="11">
        <v>41818</v>
      </c>
      <c r="AF182" s="12">
        <f t="shared" si="7"/>
        <v>7</v>
      </c>
      <c r="AG182" s="11">
        <f t="shared" si="8"/>
        <v>41823</v>
      </c>
      <c r="AH182" s="11">
        <f t="shared" si="9"/>
        <v>41828</v>
      </c>
    </row>
    <row r="183" spans="29:34">
      <c r="AE183" s="11">
        <v>41819</v>
      </c>
      <c r="AF183" s="12">
        <f t="shared" si="7"/>
        <v>1</v>
      </c>
      <c r="AG183" s="11">
        <f t="shared" si="8"/>
        <v>41823</v>
      </c>
      <c r="AH183" s="11">
        <f t="shared" si="9"/>
        <v>41828</v>
      </c>
    </row>
    <row r="184" spans="29:34">
      <c r="AE184" s="11">
        <v>41820</v>
      </c>
      <c r="AF184" s="12">
        <f t="shared" si="7"/>
        <v>2</v>
      </c>
      <c r="AG184" s="11">
        <v>41827</v>
      </c>
      <c r="AH184" s="11">
        <f t="shared" si="9"/>
        <v>41829</v>
      </c>
    </row>
    <row r="185" spans="29:34">
      <c r="AE185" s="11">
        <v>41821</v>
      </c>
      <c r="AF185" s="12">
        <f t="shared" si="7"/>
        <v>3</v>
      </c>
      <c r="AG185" s="11">
        <f t="shared" si="8"/>
        <v>41827</v>
      </c>
      <c r="AH185" s="11">
        <f t="shared" si="9"/>
        <v>41829</v>
      </c>
    </row>
    <row r="186" spans="29:34">
      <c r="AE186" s="11">
        <v>41822</v>
      </c>
      <c r="AF186" s="12">
        <f t="shared" si="7"/>
        <v>4</v>
      </c>
      <c r="AG186" s="11">
        <v>41828</v>
      </c>
      <c r="AH186" s="11">
        <f t="shared" si="9"/>
        <v>41830</v>
      </c>
    </row>
    <row r="187" spans="29:34">
      <c r="AE187" s="11">
        <v>41823</v>
      </c>
      <c r="AF187" s="12">
        <f t="shared" si="7"/>
        <v>5</v>
      </c>
      <c r="AG187" s="11">
        <v>41829</v>
      </c>
      <c r="AH187" s="11">
        <f t="shared" si="9"/>
        <v>41831</v>
      </c>
    </row>
    <row r="188" spans="29:34">
      <c r="AE188" s="11">
        <v>41824</v>
      </c>
      <c r="AF188" s="12">
        <f t="shared" si="7"/>
        <v>6</v>
      </c>
      <c r="AG188" s="11">
        <f t="shared" si="8"/>
        <v>41829</v>
      </c>
      <c r="AH188" s="11">
        <f t="shared" si="9"/>
        <v>41831</v>
      </c>
    </row>
    <row r="189" spans="29:34">
      <c r="AE189" s="11">
        <v>41825</v>
      </c>
      <c r="AF189" s="12">
        <f t="shared" si="7"/>
        <v>7</v>
      </c>
      <c r="AG189" s="11">
        <f t="shared" si="8"/>
        <v>41830</v>
      </c>
      <c r="AH189" s="11">
        <f t="shared" si="9"/>
        <v>41834</v>
      </c>
    </row>
    <row r="190" spans="29:34">
      <c r="AE190" s="11">
        <v>41826</v>
      </c>
      <c r="AF190" s="12">
        <f t="shared" si="7"/>
        <v>1</v>
      </c>
      <c r="AG190" s="11">
        <f t="shared" si="8"/>
        <v>41830</v>
      </c>
      <c r="AH190" s="11">
        <f t="shared" si="9"/>
        <v>41834</v>
      </c>
    </row>
    <row r="191" spans="29:34">
      <c r="AE191" s="11">
        <v>41827</v>
      </c>
      <c r="AF191" s="12">
        <f t="shared" si="7"/>
        <v>2</v>
      </c>
      <c r="AG191" s="11">
        <f t="shared" si="8"/>
        <v>41831</v>
      </c>
      <c r="AH191" s="11">
        <f t="shared" si="9"/>
        <v>41835</v>
      </c>
    </row>
    <row r="192" spans="29:34">
      <c r="AE192" s="11">
        <v>41828</v>
      </c>
      <c r="AF192" s="12">
        <f t="shared" si="7"/>
        <v>3</v>
      </c>
      <c r="AG192" s="11">
        <f t="shared" si="8"/>
        <v>41834</v>
      </c>
      <c r="AH192" s="11">
        <f t="shared" si="9"/>
        <v>41836</v>
      </c>
    </row>
    <row r="193" spans="31:34">
      <c r="AE193" s="11">
        <v>41829</v>
      </c>
      <c r="AF193" s="12">
        <f t="shared" si="7"/>
        <v>4</v>
      </c>
      <c r="AG193" s="11">
        <f t="shared" si="8"/>
        <v>41834</v>
      </c>
      <c r="AH193" s="11">
        <f t="shared" si="9"/>
        <v>41836</v>
      </c>
    </row>
    <row r="194" spans="31:34">
      <c r="AE194" s="11">
        <v>41830</v>
      </c>
      <c r="AF194" s="12">
        <f t="shared" si="7"/>
        <v>5</v>
      </c>
      <c r="AG194" s="11">
        <f t="shared" si="8"/>
        <v>41835</v>
      </c>
      <c r="AH194" s="11">
        <f t="shared" si="9"/>
        <v>41837</v>
      </c>
    </row>
    <row r="195" spans="31:34">
      <c r="AE195" s="11">
        <v>41831</v>
      </c>
      <c r="AF195" s="12">
        <f t="shared" si="7"/>
        <v>6</v>
      </c>
      <c r="AG195" s="11">
        <f t="shared" si="8"/>
        <v>41836</v>
      </c>
      <c r="AH195" s="11">
        <f t="shared" si="9"/>
        <v>41838</v>
      </c>
    </row>
    <row r="196" spans="31:34">
      <c r="AE196" s="11">
        <v>41832</v>
      </c>
      <c r="AF196" s="12">
        <f t="shared" si="7"/>
        <v>7</v>
      </c>
      <c r="AG196" s="11">
        <f t="shared" si="8"/>
        <v>41837</v>
      </c>
      <c r="AH196" s="11">
        <f t="shared" si="9"/>
        <v>41841</v>
      </c>
    </row>
    <row r="197" spans="31:34">
      <c r="AE197" s="11">
        <v>41833</v>
      </c>
      <c r="AF197" s="12">
        <f t="shared" ref="AF197:AF260" si="10">WEEKDAY(AE197)</f>
        <v>1</v>
      </c>
      <c r="AG197" s="11">
        <f t="shared" ref="AG197:AG260" si="11">AE197+(VLOOKUP(AF197, $AJ$4:$AK$10, 2, FALSE))</f>
        <v>41837</v>
      </c>
      <c r="AH197" s="11">
        <f t="shared" ref="AH197:AH260" si="12">IFERROR((WORKDAY(AG197, 2, AC$4:AC$53)), "")</f>
        <v>41841</v>
      </c>
    </row>
    <row r="198" spans="31:34">
      <c r="AE198" s="11">
        <v>41834</v>
      </c>
      <c r="AF198" s="12">
        <f t="shared" si="10"/>
        <v>2</v>
      </c>
      <c r="AG198" s="11">
        <f t="shared" si="11"/>
        <v>41838</v>
      </c>
      <c r="AH198" s="11">
        <f t="shared" si="12"/>
        <v>41842</v>
      </c>
    </row>
    <row r="199" spans="31:34">
      <c r="AE199" s="11">
        <v>41835</v>
      </c>
      <c r="AF199" s="12">
        <f t="shared" si="10"/>
        <v>3</v>
      </c>
      <c r="AG199" s="11">
        <f t="shared" si="11"/>
        <v>41841</v>
      </c>
      <c r="AH199" s="11">
        <f t="shared" si="12"/>
        <v>41843</v>
      </c>
    </row>
    <row r="200" spans="31:34">
      <c r="AE200" s="11">
        <v>41836</v>
      </c>
      <c r="AF200" s="12">
        <f t="shared" si="10"/>
        <v>4</v>
      </c>
      <c r="AG200" s="11">
        <f t="shared" si="11"/>
        <v>41841</v>
      </c>
      <c r="AH200" s="11">
        <f t="shared" si="12"/>
        <v>41843</v>
      </c>
    </row>
    <row r="201" spans="31:34">
      <c r="AE201" s="11">
        <v>41837</v>
      </c>
      <c r="AF201" s="12">
        <f t="shared" si="10"/>
        <v>5</v>
      </c>
      <c r="AG201" s="11">
        <f t="shared" si="11"/>
        <v>41842</v>
      </c>
      <c r="AH201" s="11">
        <f t="shared" si="12"/>
        <v>41844</v>
      </c>
    </row>
    <row r="202" spans="31:34">
      <c r="AE202" s="11">
        <v>41838</v>
      </c>
      <c r="AF202" s="12">
        <f t="shared" si="10"/>
        <v>6</v>
      </c>
      <c r="AG202" s="11">
        <f t="shared" si="11"/>
        <v>41843</v>
      </c>
      <c r="AH202" s="11">
        <f t="shared" si="12"/>
        <v>41845</v>
      </c>
    </row>
    <row r="203" spans="31:34">
      <c r="AE203" s="11">
        <v>41839</v>
      </c>
      <c r="AF203" s="12">
        <f t="shared" si="10"/>
        <v>7</v>
      </c>
      <c r="AG203" s="11">
        <f t="shared" si="11"/>
        <v>41844</v>
      </c>
      <c r="AH203" s="11">
        <f t="shared" si="12"/>
        <v>41848</v>
      </c>
    </row>
    <row r="204" spans="31:34">
      <c r="AE204" s="11">
        <v>41840</v>
      </c>
      <c r="AF204" s="12">
        <f t="shared" si="10"/>
        <v>1</v>
      </c>
      <c r="AG204" s="11">
        <f t="shared" si="11"/>
        <v>41844</v>
      </c>
      <c r="AH204" s="11">
        <f t="shared" si="12"/>
        <v>41848</v>
      </c>
    </row>
    <row r="205" spans="31:34">
      <c r="AE205" s="11">
        <v>41841</v>
      </c>
      <c r="AF205" s="12">
        <f t="shared" si="10"/>
        <v>2</v>
      </c>
      <c r="AG205" s="11">
        <f t="shared" si="11"/>
        <v>41845</v>
      </c>
      <c r="AH205" s="11">
        <f t="shared" si="12"/>
        <v>41849</v>
      </c>
    </row>
    <row r="206" spans="31:34">
      <c r="AE206" s="11">
        <v>41842</v>
      </c>
      <c r="AF206" s="12">
        <f t="shared" si="10"/>
        <v>3</v>
      </c>
      <c r="AG206" s="11">
        <f t="shared" si="11"/>
        <v>41848</v>
      </c>
      <c r="AH206" s="11">
        <f t="shared" si="12"/>
        <v>41850</v>
      </c>
    </row>
    <row r="207" spans="31:34">
      <c r="AE207" s="11">
        <v>41843</v>
      </c>
      <c r="AF207" s="12">
        <f t="shared" si="10"/>
        <v>4</v>
      </c>
      <c r="AG207" s="11">
        <f t="shared" si="11"/>
        <v>41848</v>
      </c>
      <c r="AH207" s="11">
        <f t="shared" si="12"/>
        <v>41850</v>
      </c>
    </row>
    <row r="208" spans="31:34">
      <c r="AE208" s="11">
        <v>41844</v>
      </c>
      <c r="AF208" s="12">
        <f t="shared" si="10"/>
        <v>5</v>
      </c>
      <c r="AG208" s="11">
        <f t="shared" si="11"/>
        <v>41849</v>
      </c>
      <c r="AH208" s="11">
        <f t="shared" si="12"/>
        <v>41851</v>
      </c>
    </row>
    <row r="209" spans="31:34">
      <c r="AE209" s="11">
        <v>41845</v>
      </c>
      <c r="AF209" s="12">
        <f t="shared" si="10"/>
        <v>6</v>
      </c>
      <c r="AG209" s="11">
        <f t="shared" si="11"/>
        <v>41850</v>
      </c>
      <c r="AH209" s="11">
        <f t="shared" si="12"/>
        <v>41852</v>
      </c>
    </row>
    <row r="210" spans="31:34">
      <c r="AE210" s="11">
        <v>41846</v>
      </c>
      <c r="AF210" s="12">
        <f t="shared" si="10"/>
        <v>7</v>
      </c>
      <c r="AG210" s="11">
        <f t="shared" si="11"/>
        <v>41851</v>
      </c>
      <c r="AH210" s="11">
        <f t="shared" si="12"/>
        <v>41855</v>
      </c>
    </row>
    <row r="211" spans="31:34">
      <c r="AE211" s="11">
        <v>41847</v>
      </c>
      <c r="AF211" s="12">
        <f t="shared" si="10"/>
        <v>1</v>
      </c>
      <c r="AG211" s="11">
        <f t="shared" si="11"/>
        <v>41851</v>
      </c>
      <c r="AH211" s="11">
        <f t="shared" si="12"/>
        <v>41855</v>
      </c>
    </row>
    <row r="212" spans="31:34">
      <c r="AE212" s="11">
        <v>41848</v>
      </c>
      <c r="AF212" s="12">
        <f t="shared" si="10"/>
        <v>2</v>
      </c>
      <c r="AG212" s="11">
        <f t="shared" si="11"/>
        <v>41852</v>
      </c>
      <c r="AH212" s="11">
        <f t="shared" si="12"/>
        <v>41856</v>
      </c>
    </row>
    <row r="213" spans="31:34">
      <c r="AE213" s="11">
        <v>41849</v>
      </c>
      <c r="AF213" s="12">
        <f t="shared" si="10"/>
        <v>3</v>
      </c>
      <c r="AG213" s="11">
        <f t="shared" si="11"/>
        <v>41855</v>
      </c>
      <c r="AH213" s="11">
        <f t="shared" si="12"/>
        <v>41857</v>
      </c>
    </row>
    <row r="214" spans="31:34">
      <c r="AE214" s="11">
        <v>41850</v>
      </c>
      <c r="AF214" s="12">
        <f t="shared" si="10"/>
        <v>4</v>
      </c>
      <c r="AG214" s="11">
        <f t="shared" si="11"/>
        <v>41855</v>
      </c>
      <c r="AH214" s="11">
        <f t="shared" si="12"/>
        <v>41857</v>
      </c>
    </row>
    <row r="215" spans="31:34">
      <c r="AE215" s="11">
        <v>41851</v>
      </c>
      <c r="AF215" s="12">
        <f t="shared" si="10"/>
        <v>5</v>
      </c>
      <c r="AG215" s="11">
        <f t="shared" si="11"/>
        <v>41856</v>
      </c>
      <c r="AH215" s="11">
        <f t="shared" si="12"/>
        <v>41858</v>
      </c>
    </row>
    <row r="216" spans="31:34">
      <c r="AE216" s="11">
        <v>41852</v>
      </c>
      <c r="AF216" s="12">
        <f t="shared" si="10"/>
        <v>6</v>
      </c>
      <c r="AG216" s="11">
        <f t="shared" si="11"/>
        <v>41857</v>
      </c>
      <c r="AH216" s="11">
        <f t="shared" si="12"/>
        <v>41859</v>
      </c>
    </row>
    <row r="217" spans="31:34">
      <c r="AE217" s="11">
        <v>41853</v>
      </c>
      <c r="AF217" s="12">
        <f t="shared" si="10"/>
        <v>7</v>
      </c>
      <c r="AG217" s="11">
        <f t="shared" si="11"/>
        <v>41858</v>
      </c>
      <c r="AH217" s="11">
        <f t="shared" si="12"/>
        <v>41862</v>
      </c>
    </row>
    <row r="218" spans="31:34">
      <c r="AE218" s="11">
        <v>41854</v>
      </c>
      <c r="AF218" s="12">
        <f t="shared" si="10"/>
        <v>1</v>
      </c>
      <c r="AG218" s="11">
        <f t="shared" si="11"/>
        <v>41858</v>
      </c>
      <c r="AH218" s="11">
        <f t="shared" si="12"/>
        <v>41862</v>
      </c>
    </row>
    <row r="219" spans="31:34">
      <c r="AE219" s="11">
        <v>41855</v>
      </c>
      <c r="AF219" s="12">
        <f t="shared" si="10"/>
        <v>2</v>
      </c>
      <c r="AG219" s="11">
        <f t="shared" si="11"/>
        <v>41859</v>
      </c>
      <c r="AH219" s="11">
        <f t="shared" si="12"/>
        <v>41863</v>
      </c>
    </row>
    <row r="220" spans="31:34">
      <c r="AE220" s="11">
        <v>41856</v>
      </c>
      <c r="AF220" s="12">
        <f t="shared" si="10"/>
        <v>3</v>
      </c>
      <c r="AG220" s="11">
        <f t="shared" si="11"/>
        <v>41862</v>
      </c>
      <c r="AH220" s="11">
        <f t="shared" si="12"/>
        <v>41864</v>
      </c>
    </row>
    <row r="221" spans="31:34">
      <c r="AE221" s="11">
        <v>41857</v>
      </c>
      <c r="AF221" s="12">
        <f t="shared" si="10"/>
        <v>4</v>
      </c>
      <c r="AG221" s="11">
        <f t="shared" si="11"/>
        <v>41862</v>
      </c>
      <c r="AH221" s="11">
        <f t="shared" si="12"/>
        <v>41864</v>
      </c>
    </row>
    <row r="222" spans="31:34">
      <c r="AE222" s="11">
        <v>41858</v>
      </c>
      <c r="AF222" s="12">
        <f t="shared" si="10"/>
        <v>5</v>
      </c>
      <c r="AG222" s="11">
        <f t="shared" si="11"/>
        <v>41863</v>
      </c>
      <c r="AH222" s="11">
        <f t="shared" si="12"/>
        <v>41865</v>
      </c>
    </row>
    <row r="223" spans="31:34">
      <c r="AE223" s="11">
        <v>41859</v>
      </c>
      <c r="AF223" s="12">
        <f t="shared" si="10"/>
        <v>6</v>
      </c>
      <c r="AG223" s="11">
        <f t="shared" si="11"/>
        <v>41864</v>
      </c>
      <c r="AH223" s="11">
        <f t="shared" si="12"/>
        <v>41866</v>
      </c>
    </row>
    <row r="224" spans="31:34">
      <c r="AE224" s="11">
        <v>41860</v>
      </c>
      <c r="AF224" s="12">
        <f t="shared" si="10"/>
        <v>7</v>
      </c>
      <c r="AG224" s="11">
        <f t="shared" si="11"/>
        <v>41865</v>
      </c>
      <c r="AH224" s="11">
        <f t="shared" si="12"/>
        <v>41869</v>
      </c>
    </row>
    <row r="225" spans="31:34">
      <c r="AE225" s="11">
        <v>41861</v>
      </c>
      <c r="AF225" s="12">
        <f t="shared" si="10"/>
        <v>1</v>
      </c>
      <c r="AG225" s="11">
        <f t="shared" si="11"/>
        <v>41865</v>
      </c>
      <c r="AH225" s="11">
        <f t="shared" si="12"/>
        <v>41869</v>
      </c>
    </row>
    <row r="226" spans="31:34">
      <c r="AE226" s="11">
        <v>41862</v>
      </c>
      <c r="AF226" s="12">
        <f t="shared" si="10"/>
        <v>2</v>
      </c>
      <c r="AG226" s="11">
        <f t="shared" si="11"/>
        <v>41866</v>
      </c>
      <c r="AH226" s="11">
        <f t="shared" si="12"/>
        <v>41870</v>
      </c>
    </row>
    <row r="227" spans="31:34">
      <c r="AE227" s="11">
        <v>41863</v>
      </c>
      <c r="AF227" s="12">
        <f t="shared" si="10"/>
        <v>3</v>
      </c>
      <c r="AG227" s="11">
        <f t="shared" si="11"/>
        <v>41869</v>
      </c>
      <c r="AH227" s="11">
        <f t="shared" si="12"/>
        <v>41871</v>
      </c>
    </row>
    <row r="228" spans="31:34">
      <c r="AE228" s="11">
        <v>41864</v>
      </c>
      <c r="AF228" s="12">
        <f t="shared" si="10"/>
        <v>4</v>
      </c>
      <c r="AG228" s="11">
        <f t="shared" si="11"/>
        <v>41869</v>
      </c>
      <c r="AH228" s="11">
        <f t="shared" si="12"/>
        <v>41871</v>
      </c>
    </row>
    <row r="229" spans="31:34">
      <c r="AE229" s="11">
        <v>41865</v>
      </c>
      <c r="AF229" s="12">
        <f t="shared" si="10"/>
        <v>5</v>
      </c>
      <c r="AG229" s="11">
        <f t="shared" si="11"/>
        <v>41870</v>
      </c>
      <c r="AH229" s="11">
        <f t="shared" si="12"/>
        <v>41872</v>
      </c>
    </row>
    <row r="230" spans="31:34">
      <c r="AE230" s="11">
        <v>41866</v>
      </c>
      <c r="AF230" s="12">
        <f t="shared" si="10"/>
        <v>6</v>
      </c>
      <c r="AG230" s="11">
        <f t="shared" si="11"/>
        <v>41871</v>
      </c>
      <c r="AH230" s="11">
        <f t="shared" si="12"/>
        <v>41873</v>
      </c>
    </row>
    <row r="231" spans="31:34">
      <c r="AE231" s="11">
        <v>41867</v>
      </c>
      <c r="AF231" s="12">
        <f t="shared" si="10"/>
        <v>7</v>
      </c>
      <c r="AG231" s="11">
        <f t="shared" si="11"/>
        <v>41872</v>
      </c>
      <c r="AH231" s="11">
        <f t="shared" si="12"/>
        <v>41876</v>
      </c>
    </row>
    <row r="232" spans="31:34">
      <c r="AE232" s="11">
        <v>41868</v>
      </c>
      <c r="AF232" s="12">
        <f t="shared" si="10"/>
        <v>1</v>
      </c>
      <c r="AG232" s="11">
        <f t="shared" si="11"/>
        <v>41872</v>
      </c>
      <c r="AH232" s="11">
        <f t="shared" si="12"/>
        <v>41876</v>
      </c>
    </row>
    <row r="233" spans="31:34">
      <c r="AE233" s="11">
        <v>41869</v>
      </c>
      <c r="AF233" s="12">
        <f t="shared" si="10"/>
        <v>2</v>
      </c>
      <c r="AG233" s="11">
        <f t="shared" si="11"/>
        <v>41873</v>
      </c>
      <c r="AH233" s="11">
        <f t="shared" si="12"/>
        <v>41877</v>
      </c>
    </row>
    <row r="234" spans="31:34">
      <c r="AE234" s="11">
        <v>41870</v>
      </c>
      <c r="AF234" s="12">
        <f t="shared" si="10"/>
        <v>3</v>
      </c>
      <c r="AG234" s="11">
        <f t="shared" si="11"/>
        <v>41876</v>
      </c>
      <c r="AH234" s="11">
        <f t="shared" si="12"/>
        <v>41878</v>
      </c>
    </row>
    <row r="235" spans="31:34">
      <c r="AE235" s="11">
        <v>41871</v>
      </c>
      <c r="AF235" s="12">
        <f t="shared" si="10"/>
        <v>4</v>
      </c>
      <c r="AG235" s="11">
        <f t="shared" si="11"/>
        <v>41876</v>
      </c>
      <c r="AH235" s="11">
        <f t="shared" si="12"/>
        <v>41878</v>
      </c>
    </row>
    <row r="236" spans="31:34">
      <c r="AE236" s="11">
        <v>41872</v>
      </c>
      <c r="AF236" s="12">
        <f t="shared" si="10"/>
        <v>5</v>
      </c>
      <c r="AG236" s="11">
        <f t="shared" si="11"/>
        <v>41877</v>
      </c>
      <c r="AH236" s="11">
        <f t="shared" si="12"/>
        <v>41879</v>
      </c>
    </row>
    <row r="237" spans="31:34">
      <c r="AE237" s="11">
        <v>41873</v>
      </c>
      <c r="AF237" s="12">
        <f t="shared" si="10"/>
        <v>6</v>
      </c>
      <c r="AG237" s="11">
        <f t="shared" si="11"/>
        <v>41878</v>
      </c>
      <c r="AH237" s="11">
        <f t="shared" si="12"/>
        <v>41880</v>
      </c>
    </row>
    <row r="238" spans="31:34">
      <c r="AE238" s="11">
        <v>41874</v>
      </c>
      <c r="AF238" s="12">
        <f t="shared" si="10"/>
        <v>7</v>
      </c>
      <c r="AG238" s="11">
        <f t="shared" si="11"/>
        <v>41879</v>
      </c>
      <c r="AH238" s="11">
        <f t="shared" si="12"/>
        <v>41884</v>
      </c>
    </row>
    <row r="239" spans="31:34">
      <c r="AE239" s="11">
        <v>41875</v>
      </c>
      <c r="AF239" s="12">
        <f t="shared" si="10"/>
        <v>1</v>
      </c>
      <c r="AG239" s="11">
        <f t="shared" si="11"/>
        <v>41879</v>
      </c>
      <c r="AH239" s="11">
        <f t="shared" si="12"/>
        <v>41884</v>
      </c>
    </row>
    <row r="240" spans="31:34">
      <c r="AE240" s="11">
        <v>41876</v>
      </c>
      <c r="AF240" s="12">
        <f t="shared" si="10"/>
        <v>2</v>
      </c>
      <c r="AG240" s="11">
        <f t="shared" si="11"/>
        <v>41880</v>
      </c>
      <c r="AH240" s="11">
        <f t="shared" si="12"/>
        <v>41885</v>
      </c>
    </row>
    <row r="241" spans="31:34">
      <c r="AE241" s="11">
        <v>41877</v>
      </c>
      <c r="AF241" s="12">
        <f t="shared" si="10"/>
        <v>3</v>
      </c>
      <c r="AG241" s="11">
        <v>41884</v>
      </c>
      <c r="AH241" s="11">
        <f t="shared" si="12"/>
        <v>41886</v>
      </c>
    </row>
    <row r="242" spans="31:34">
      <c r="AE242" s="11">
        <v>41878</v>
      </c>
      <c r="AF242" s="12">
        <f t="shared" si="10"/>
        <v>4</v>
      </c>
      <c r="AG242" s="11">
        <v>41884</v>
      </c>
      <c r="AH242" s="11">
        <f t="shared" si="12"/>
        <v>41886</v>
      </c>
    </row>
    <row r="243" spans="31:34">
      <c r="AE243" s="11">
        <v>41879</v>
      </c>
      <c r="AF243" s="12">
        <f t="shared" si="10"/>
        <v>5</v>
      </c>
      <c r="AG243" s="11">
        <v>41885</v>
      </c>
      <c r="AH243" s="11">
        <f t="shared" si="12"/>
        <v>41887</v>
      </c>
    </row>
    <row r="244" spans="31:34">
      <c r="AE244" s="11">
        <v>41880</v>
      </c>
      <c r="AF244" s="12">
        <f t="shared" si="10"/>
        <v>6</v>
      </c>
      <c r="AG244" s="11">
        <v>41886</v>
      </c>
      <c r="AH244" s="11">
        <f t="shared" si="12"/>
        <v>41890</v>
      </c>
    </row>
    <row r="245" spans="31:34">
      <c r="AE245" s="11">
        <v>41881</v>
      </c>
      <c r="AF245" s="12">
        <f t="shared" si="10"/>
        <v>7</v>
      </c>
      <c r="AG245" s="11">
        <v>41887</v>
      </c>
      <c r="AH245" s="11">
        <f t="shared" si="12"/>
        <v>41891</v>
      </c>
    </row>
    <row r="246" spans="31:34">
      <c r="AE246" s="11">
        <v>41882</v>
      </c>
      <c r="AF246" s="12">
        <f t="shared" si="10"/>
        <v>1</v>
      </c>
      <c r="AG246" s="11">
        <v>41887</v>
      </c>
      <c r="AH246" s="11">
        <f t="shared" si="12"/>
        <v>41891</v>
      </c>
    </row>
    <row r="247" spans="31:34">
      <c r="AE247" s="11">
        <v>41883</v>
      </c>
      <c r="AF247" s="12">
        <f t="shared" si="10"/>
        <v>2</v>
      </c>
      <c r="AG247" s="11">
        <f t="shared" si="11"/>
        <v>41887</v>
      </c>
      <c r="AH247" s="11">
        <f t="shared" si="12"/>
        <v>41891</v>
      </c>
    </row>
    <row r="248" spans="31:34">
      <c r="AE248" s="11">
        <v>41884</v>
      </c>
      <c r="AF248" s="12">
        <f t="shared" si="10"/>
        <v>3</v>
      </c>
      <c r="AG248" s="11">
        <f t="shared" si="11"/>
        <v>41890</v>
      </c>
      <c r="AH248" s="11">
        <f t="shared" si="12"/>
        <v>41892</v>
      </c>
    </row>
    <row r="249" spans="31:34">
      <c r="AE249" s="11">
        <v>41885</v>
      </c>
      <c r="AF249" s="12">
        <f t="shared" si="10"/>
        <v>4</v>
      </c>
      <c r="AG249" s="11">
        <f t="shared" si="11"/>
        <v>41890</v>
      </c>
      <c r="AH249" s="11">
        <f t="shared" si="12"/>
        <v>41892</v>
      </c>
    </row>
    <row r="250" spans="31:34">
      <c r="AE250" s="11">
        <v>41886</v>
      </c>
      <c r="AF250" s="12">
        <f t="shared" si="10"/>
        <v>5</v>
      </c>
      <c r="AG250" s="11">
        <f t="shared" si="11"/>
        <v>41891</v>
      </c>
      <c r="AH250" s="11">
        <f t="shared" si="12"/>
        <v>41893</v>
      </c>
    </row>
    <row r="251" spans="31:34">
      <c r="AE251" s="11">
        <v>41887</v>
      </c>
      <c r="AF251" s="12">
        <f t="shared" si="10"/>
        <v>6</v>
      </c>
      <c r="AG251" s="11">
        <f t="shared" si="11"/>
        <v>41892</v>
      </c>
      <c r="AH251" s="11">
        <f t="shared" si="12"/>
        <v>41894</v>
      </c>
    </row>
    <row r="252" spans="31:34">
      <c r="AE252" s="11">
        <v>41888</v>
      </c>
      <c r="AF252" s="12">
        <f t="shared" si="10"/>
        <v>7</v>
      </c>
      <c r="AG252" s="11">
        <f t="shared" si="11"/>
        <v>41893</v>
      </c>
      <c r="AH252" s="11">
        <f t="shared" si="12"/>
        <v>41897</v>
      </c>
    </row>
    <row r="253" spans="31:34">
      <c r="AE253" s="11">
        <v>41889</v>
      </c>
      <c r="AF253" s="12">
        <f t="shared" si="10"/>
        <v>1</v>
      </c>
      <c r="AG253" s="11">
        <f t="shared" si="11"/>
        <v>41893</v>
      </c>
      <c r="AH253" s="11">
        <f t="shared" si="12"/>
        <v>41897</v>
      </c>
    </row>
    <row r="254" spans="31:34">
      <c r="AE254" s="11">
        <v>41890</v>
      </c>
      <c r="AF254" s="12">
        <f t="shared" si="10"/>
        <v>2</v>
      </c>
      <c r="AG254" s="11">
        <f t="shared" si="11"/>
        <v>41894</v>
      </c>
      <c r="AH254" s="11">
        <f t="shared" si="12"/>
        <v>41898</v>
      </c>
    </row>
    <row r="255" spans="31:34">
      <c r="AE255" s="11">
        <v>41891</v>
      </c>
      <c r="AF255" s="12">
        <f t="shared" si="10"/>
        <v>3</v>
      </c>
      <c r="AG255" s="11">
        <f t="shared" si="11"/>
        <v>41897</v>
      </c>
      <c r="AH255" s="11">
        <f t="shared" si="12"/>
        <v>41899</v>
      </c>
    </row>
    <row r="256" spans="31:34">
      <c r="AE256" s="11">
        <v>41892</v>
      </c>
      <c r="AF256" s="12">
        <f t="shared" si="10"/>
        <v>4</v>
      </c>
      <c r="AG256" s="11">
        <f t="shared" si="11"/>
        <v>41897</v>
      </c>
      <c r="AH256" s="11">
        <f t="shared" si="12"/>
        <v>41899</v>
      </c>
    </row>
    <row r="257" spans="31:34">
      <c r="AE257" s="11">
        <v>41893</v>
      </c>
      <c r="AF257" s="12">
        <f t="shared" si="10"/>
        <v>5</v>
      </c>
      <c r="AG257" s="11">
        <f t="shared" si="11"/>
        <v>41898</v>
      </c>
      <c r="AH257" s="11">
        <f t="shared" si="12"/>
        <v>41900</v>
      </c>
    </row>
    <row r="258" spans="31:34">
      <c r="AE258" s="11">
        <v>41894</v>
      </c>
      <c r="AF258" s="12">
        <f t="shared" si="10"/>
        <v>6</v>
      </c>
      <c r="AG258" s="11">
        <f t="shared" si="11"/>
        <v>41899</v>
      </c>
      <c r="AH258" s="11">
        <f t="shared" si="12"/>
        <v>41901</v>
      </c>
    </row>
    <row r="259" spans="31:34">
      <c r="AE259" s="11">
        <v>41895</v>
      </c>
      <c r="AF259" s="12">
        <f t="shared" si="10"/>
        <v>7</v>
      </c>
      <c r="AG259" s="11">
        <f t="shared" si="11"/>
        <v>41900</v>
      </c>
      <c r="AH259" s="11">
        <f t="shared" si="12"/>
        <v>41904</v>
      </c>
    </row>
    <row r="260" spans="31:34">
      <c r="AE260" s="11">
        <v>41896</v>
      </c>
      <c r="AF260" s="12">
        <f t="shared" si="10"/>
        <v>1</v>
      </c>
      <c r="AG260" s="11">
        <f t="shared" si="11"/>
        <v>41900</v>
      </c>
      <c r="AH260" s="11">
        <f t="shared" si="12"/>
        <v>41904</v>
      </c>
    </row>
    <row r="261" spans="31:34">
      <c r="AE261" s="11">
        <v>41897</v>
      </c>
      <c r="AF261" s="12">
        <f t="shared" ref="AF261:AF324" si="13">WEEKDAY(AE261)</f>
        <v>2</v>
      </c>
      <c r="AG261" s="11">
        <f t="shared" ref="AG261:AG324" si="14">AE261+(VLOOKUP(AF261, $AJ$4:$AK$10, 2, FALSE))</f>
        <v>41901</v>
      </c>
      <c r="AH261" s="11">
        <f t="shared" ref="AH261:AH324" si="15">IFERROR((WORKDAY(AG261, 2, AC$4:AC$53)), "")</f>
        <v>41905</v>
      </c>
    </row>
    <row r="262" spans="31:34">
      <c r="AE262" s="11">
        <v>41898</v>
      </c>
      <c r="AF262" s="12">
        <f t="shared" si="13"/>
        <v>3</v>
      </c>
      <c r="AG262" s="11">
        <f t="shared" si="14"/>
        <v>41904</v>
      </c>
      <c r="AH262" s="11">
        <f t="shared" si="15"/>
        <v>41906</v>
      </c>
    </row>
    <row r="263" spans="31:34">
      <c r="AE263" s="11">
        <v>41899</v>
      </c>
      <c r="AF263" s="12">
        <f t="shared" si="13"/>
        <v>4</v>
      </c>
      <c r="AG263" s="11">
        <f t="shared" si="14"/>
        <v>41904</v>
      </c>
      <c r="AH263" s="11">
        <f t="shared" si="15"/>
        <v>41906</v>
      </c>
    </row>
    <row r="264" spans="31:34">
      <c r="AE264" s="11">
        <v>41900</v>
      </c>
      <c r="AF264" s="12">
        <f t="shared" si="13"/>
        <v>5</v>
      </c>
      <c r="AG264" s="11">
        <f t="shared" si="14"/>
        <v>41905</v>
      </c>
      <c r="AH264" s="11">
        <f t="shared" si="15"/>
        <v>41907</v>
      </c>
    </row>
    <row r="265" spans="31:34">
      <c r="AE265" s="11">
        <v>41901</v>
      </c>
      <c r="AF265" s="12">
        <f t="shared" si="13"/>
        <v>6</v>
      </c>
      <c r="AG265" s="11">
        <f t="shared" si="14"/>
        <v>41906</v>
      </c>
      <c r="AH265" s="11">
        <f t="shared" si="15"/>
        <v>41908</v>
      </c>
    </row>
    <row r="266" spans="31:34">
      <c r="AE266" s="11">
        <v>41902</v>
      </c>
      <c r="AF266" s="12">
        <f t="shared" si="13"/>
        <v>7</v>
      </c>
      <c r="AG266" s="11">
        <f t="shared" si="14"/>
        <v>41907</v>
      </c>
      <c r="AH266" s="11">
        <f t="shared" si="15"/>
        <v>41911</v>
      </c>
    </row>
    <row r="267" spans="31:34">
      <c r="AE267" s="11">
        <v>41903</v>
      </c>
      <c r="AF267" s="12">
        <f t="shared" si="13"/>
        <v>1</v>
      </c>
      <c r="AG267" s="11">
        <f t="shared" si="14"/>
        <v>41907</v>
      </c>
      <c r="AH267" s="11">
        <f t="shared" si="15"/>
        <v>41911</v>
      </c>
    </row>
    <row r="268" spans="31:34">
      <c r="AE268" s="11">
        <v>41904</v>
      </c>
      <c r="AF268" s="12">
        <f t="shared" si="13"/>
        <v>2</v>
      </c>
      <c r="AG268" s="11">
        <f t="shared" si="14"/>
        <v>41908</v>
      </c>
      <c r="AH268" s="11">
        <f t="shared" si="15"/>
        <v>41912</v>
      </c>
    </row>
    <row r="269" spans="31:34">
      <c r="AE269" s="11">
        <v>41905</v>
      </c>
      <c r="AF269" s="12">
        <f t="shared" si="13"/>
        <v>3</v>
      </c>
      <c r="AG269" s="11">
        <f t="shared" si="14"/>
        <v>41911</v>
      </c>
      <c r="AH269" s="11">
        <f t="shared" si="15"/>
        <v>41913</v>
      </c>
    </row>
    <row r="270" spans="31:34">
      <c r="AE270" s="11">
        <v>41906</v>
      </c>
      <c r="AF270" s="12">
        <f t="shared" si="13"/>
        <v>4</v>
      </c>
      <c r="AG270" s="11">
        <f t="shared" si="14"/>
        <v>41911</v>
      </c>
      <c r="AH270" s="11">
        <f t="shared" si="15"/>
        <v>41913</v>
      </c>
    </row>
    <row r="271" spans="31:34">
      <c r="AE271" s="11">
        <v>41907</v>
      </c>
      <c r="AF271" s="12">
        <f t="shared" si="13"/>
        <v>5</v>
      </c>
      <c r="AG271" s="11">
        <f t="shared" si="14"/>
        <v>41912</v>
      </c>
      <c r="AH271" s="11">
        <f t="shared" si="15"/>
        <v>41914</v>
      </c>
    </row>
    <row r="272" spans="31:34">
      <c r="AE272" s="11">
        <v>41908</v>
      </c>
      <c r="AF272" s="12">
        <f t="shared" si="13"/>
        <v>6</v>
      </c>
      <c r="AG272" s="11">
        <f t="shared" si="14"/>
        <v>41913</v>
      </c>
      <c r="AH272" s="11">
        <f t="shared" si="15"/>
        <v>41915</v>
      </c>
    </row>
    <row r="273" spans="31:34">
      <c r="AE273" s="11">
        <v>41909</v>
      </c>
      <c r="AF273" s="12">
        <f t="shared" si="13"/>
        <v>7</v>
      </c>
      <c r="AG273" s="11">
        <f t="shared" si="14"/>
        <v>41914</v>
      </c>
      <c r="AH273" s="11">
        <f t="shared" si="15"/>
        <v>41918</v>
      </c>
    </row>
    <row r="274" spans="31:34">
      <c r="AE274" s="11">
        <v>41910</v>
      </c>
      <c r="AF274" s="12">
        <f t="shared" si="13"/>
        <v>1</v>
      </c>
      <c r="AG274" s="11">
        <f t="shared" si="14"/>
        <v>41914</v>
      </c>
      <c r="AH274" s="11">
        <f t="shared" si="15"/>
        <v>41918</v>
      </c>
    </row>
    <row r="275" spans="31:34">
      <c r="AE275" s="11">
        <v>41911</v>
      </c>
      <c r="AF275" s="12">
        <f t="shared" si="13"/>
        <v>2</v>
      </c>
      <c r="AG275" s="11">
        <f t="shared" si="14"/>
        <v>41915</v>
      </c>
      <c r="AH275" s="11">
        <f t="shared" si="15"/>
        <v>41919</v>
      </c>
    </row>
    <row r="276" spans="31:34">
      <c r="AE276" s="11">
        <v>41912</v>
      </c>
      <c r="AF276" s="12">
        <f t="shared" si="13"/>
        <v>3</v>
      </c>
      <c r="AG276" s="11">
        <f t="shared" si="14"/>
        <v>41918</v>
      </c>
      <c r="AH276" s="11">
        <f t="shared" si="15"/>
        <v>41920</v>
      </c>
    </row>
    <row r="277" spans="31:34">
      <c r="AE277" s="11">
        <v>41913</v>
      </c>
      <c r="AF277" s="12">
        <f t="shared" si="13"/>
        <v>4</v>
      </c>
      <c r="AG277" s="11">
        <f t="shared" si="14"/>
        <v>41918</v>
      </c>
      <c r="AH277" s="11">
        <f t="shared" si="15"/>
        <v>41920</v>
      </c>
    </row>
    <row r="278" spans="31:34">
      <c r="AE278" s="11">
        <v>41914</v>
      </c>
      <c r="AF278" s="12">
        <f t="shared" si="13"/>
        <v>5</v>
      </c>
      <c r="AG278" s="11">
        <f t="shared" si="14"/>
        <v>41919</v>
      </c>
      <c r="AH278" s="11">
        <f t="shared" si="15"/>
        <v>41921</v>
      </c>
    </row>
    <row r="279" spans="31:34">
      <c r="AE279" s="11">
        <v>41915</v>
      </c>
      <c r="AF279" s="12">
        <f t="shared" si="13"/>
        <v>6</v>
      </c>
      <c r="AG279" s="11">
        <f t="shared" si="14"/>
        <v>41920</v>
      </c>
      <c r="AH279" s="11">
        <f t="shared" si="15"/>
        <v>41922</v>
      </c>
    </row>
    <row r="280" spans="31:34">
      <c r="AE280" s="11">
        <v>41916</v>
      </c>
      <c r="AF280" s="12">
        <f t="shared" si="13"/>
        <v>7</v>
      </c>
      <c r="AG280" s="11">
        <f t="shared" si="14"/>
        <v>41921</v>
      </c>
      <c r="AH280" s="11">
        <f t="shared" si="15"/>
        <v>41926</v>
      </c>
    </row>
    <row r="281" spans="31:34">
      <c r="AE281" s="11">
        <v>41917</v>
      </c>
      <c r="AF281" s="12">
        <f t="shared" si="13"/>
        <v>1</v>
      </c>
      <c r="AG281" s="11">
        <f t="shared" si="14"/>
        <v>41921</v>
      </c>
      <c r="AH281" s="11">
        <f t="shared" si="15"/>
        <v>41926</v>
      </c>
    </row>
    <row r="282" spans="31:34">
      <c r="AE282" s="11">
        <v>41918</v>
      </c>
      <c r="AF282" s="12">
        <f t="shared" si="13"/>
        <v>2</v>
      </c>
      <c r="AG282" s="11">
        <f t="shared" si="14"/>
        <v>41922</v>
      </c>
      <c r="AH282" s="11">
        <f t="shared" si="15"/>
        <v>41927</v>
      </c>
    </row>
    <row r="283" spans="31:34">
      <c r="AE283" s="11">
        <v>41919</v>
      </c>
      <c r="AF283" s="12">
        <f t="shared" si="13"/>
        <v>3</v>
      </c>
      <c r="AG283" s="11">
        <v>41926</v>
      </c>
      <c r="AH283" s="11">
        <f t="shared" si="15"/>
        <v>41928</v>
      </c>
    </row>
    <row r="284" spans="31:34">
      <c r="AE284" s="11">
        <v>41920</v>
      </c>
      <c r="AF284" s="12">
        <f t="shared" si="13"/>
        <v>4</v>
      </c>
      <c r="AG284" s="11">
        <v>41926</v>
      </c>
      <c r="AH284" s="11">
        <f t="shared" si="15"/>
        <v>41928</v>
      </c>
    </row>
    <row r="285" spans="31:34">
      <c r="AE285" s="11">
        <v>41921</v>
      </c>
      <c r="AF285" s="12">
        <f t="shared" si="13"/>
        <v>5</v>
      </c>
      <c r="AG285" s="11">
        <v>41927</v>
      </c>
      <c r="AH285" s="11">
        <f t="shared" si="15"/>
        <v>41929</v>
      </c>
    </row>
    <row r="286" spans="31:34">
      <c r="AE286" s="11">
        <v>41922</v>
      </c>
      <c r="AF286" s="12">
        <f t="shared" si="13"/>
        <v>6</v>
      </c>
      <c r="AG286" s="11">
        <v>41928</v>
      </c>
      <c r="AH286" s="11">
        <f t="shared" si="15"/>
        <v>41932</v>
      </c>
    </row>
    <row r="287" spans="31:34">
      <c r="AE287" s="11">
        <v>41923</v>
      </c>
      <c r="AF287" s="12">
        <f t="shared" si="13"/>
        <v>7</v>
      </c>
      <c r="AG287" s="11">
        <v>41929</v>
      </c>
      <c r="AH287" s="11">
        <f t="shared" si="15"/>
        <v>41933</v>
      </c>
    </row>
    <row r="288" spans="31:34">
      <c r="AE288" s="11">
        <v>41924</v>
      </c>
      <c r="AF288" s="12">
        <f t="shared" si="13"/>
        <v>1</v>
      </c>
      <c r="AG288" s="11">
        <v>41929</v>
      </c>
      <c r="AH288" s="11">
        <f t="shared" si="15"/>
        <v>41933</v>
      </c>
    </row>
    <row r="289" spans="31:34">
      <c r="AE289" s="11">
        <v>41925</v>
      </c>
      <c r="AF289" s="12">
        <f t="shared" si="13"/>
        <v>2</v>
      </c>
      <c r="AG289" s="11">
        <f t="shared" si="14"/>
        <v>41929</v>
      </c>
      <c r="AH289" s="11">
        <f t="shared" si="15"/>
        <v>41933</v>
      </c>
    </row>
    <row r="290" spans="31:34">
      <c r="AE290" s="11">
        <v>41926</v>
      </c>
      <c r="AF290" s="12">
        <f t="shared" si="13"/>
        <v>3</v>
      </c>
      <c r="AG290" s="11">
        <f t="shared" si="14"/>
        <v>41932</v>
      </c>
      <c r="AH290" s="11">
        <f t="shared" si="15"/>
        <v>41934</v>
      </c>
    </row>
    <row r="291" spans="31:34">
      <c r="AE291" s="11">
        <v>41927</v>
      </c>
      <c r="AF291" s="12">
        <f t="shared" si="13"/>
        <v>4</v>
      </c>
      <c r="AG291" s="11">
        <f t="shared" si="14"/>
        <v>41932</v>
      </c>
      <c r="AH291" s="11">
        <f t="shared" si="15"/>
        <v>41934</v>
      </c>
    </row>
    <row r="292" spans="31:34">
      <c r="AE292" s="11">
        <v>41928</v>
      </c>
      <c r="AF292" s="12">
        <f t="shared" si="13"/>
        <v>5</v>
      </c>
      <c r="AG292" s="11">
        <f t="shared" si="14"/>
        <v>41933</v>
      </c>
      <c r="AH292" s="11">
        <f t="shared" si="15"/>
        <v>41935</v>
      </c>
    </row>
    <row r="293" spans="31:34">
      <c r="AE293" s="11">
        <v>41929</v>
      </c>
      <c r="AF293" s="12">
        <f t="shared" si="13"/>
        <v>6</v>
      </c>
      <c r="AG293" s="11">
        <f t="shared" si="14"/>
        <v>41934</v>
      </c>
      <c r="AH293" s="11">
        <f t="shared" si="15"/>
        <v>41936</v>
      </c>
    </row>
    <row r="294" spans="31:34">
      <c r="AE294" s="11">
        <v>41930</v>
      </c>
      <c r="AF294" s="12">
        <f t="shared" si="13"/>
        <v>7</v>
      </c>
      <c r="AG294" s="11">
        <f t="shared" si="14"/>
        <v>41935</v>
      </c>
      <c r="AH294" s="11">
        <f t="shared" si="15"/>
        <v>41939</v>
      </c>
    </row>
    <row r="295" spans="31:34">
      <c r="AE295" s="11">
        <v>41931</v>
      </c>
      <c r="AF295" s="12">
        <f t="shared" si="13"/>
        <v>1</v>
      </c>
      <c r="AG295" s="11">
        <f t="shared" si="14"/>
        <v>41935</v>
      </c>
      <c r="AH295" s="11">
        <f t="shared" si="15"/>
        <v>41939</v>
      </c>
    </row>
    <row r="296" spans="31:34">
      <c r="AE296" s="11">
        <v>41932</v>
      </c>
      <c r="AF296" s="12">
        <f t="shared" si="13"/>
        <v>2</v>
      </c>
      <c r="AG296" s="11">
        <f t="shared" si="14"/>
        <v>41936</v>
      </c>
      <c r="AH296" s="11">
        <f t="shared" si="15"/>
        <v>41940</v>
      </c>
    </row>
    <row r="297" spans="31:34">
      <c r="AE297" s="11">
        <v>41933</v>
      </c>
      <c r="AF297" s="12">
        <f t="shared" si="13"/>
        <v>3</v>
      </c>
      <c r="AG297" s="11">
        <f t="shared" si="14"/>
        <v>41939</v>
      </c>
      <c r="AH297" s="11">
        <f t="shared" si="15"/>
        <v>41941</v>
      </c>
    </row>
    <row r="298" spans="31:34">
      <c r="AE298" s="11">
        <v>41934</v>
      </c>
      <c r="AF298" s="12">
        <f t="shared" si="13"/>
        <v>4</v>
      </c>
      <c r="AG298" s="11">
        <f t="shared" si="14"/>
        <v>41939</v>
      </c>
      <c r="AH298" s="11">
        <f t="shared" si="15"/>
        <v>41941</v>
      </c>
    </row>
    <row r="299" spans="31:34">
      <c r="AE299" s="11">
        <v>41935</v>
      </c>
      <c r="AF299" s="12">
        <f t="shared" si="13"/>
        <v>5</v>
      </c>
      <c r="AG299" s="11">
        <f t="shared" si="14"/>
        <v>41940</v>
      </c>
      <c r="AH299" s="11">
        <f t="shared" si="15"/>
        <v>41942</v>
      </c>
    </row>
    <row r="300" spans="31:34">
      <c r="AE300" s="11">
        <v>41936</v>
      </c>
      <c r="AF300" s="12">
        <f t="shared" si="13"/>
        <v>6</v>
      </c>
      <c r="AG300" s="11">
        <f t="shared" si="14"/>
        <v>41941</v>
      </c>
      <c r="AH300" s="11">
        <f t="shared" si="15"/>
        <v>41943</v>
      </c>
    </row>
    <row r="301" spans="31:34">
      <c r="AE301" s="11">
        <v>41937</v>
      </c>
      <c r="AF301" s="12">
        <f t="shared" si="13"/>
        <v>7</v>
      </c>
      <c r="AG301" s="11">
        <f t="shared" si="14"/>
        <v>41942</v>
      </c>
      <c r="AH301" s="11">
        <f t="shared" si="15"/>
        <v>41946</v>
      </c>
    </row>
    <row r="302" spans="31:34">
      <c r="AE302" s="11">
        <v>41938</v>
      </c>
      <c r="AF302" s="12">
        <f t="shared" si="13"/>
        <v>1</v>
      </c>
      <c r="AG302" s="11">
        <f t="shared" si="14"/>
        <v>41942</v>
      </c>
      <c r="AH302" s="11">
        <f t="shared" si="15"/>
        <v>41946</v>
      </c>
    </row>
    <row r="303" spans="31:34">
      <c r="AE303" s="11">
        <v>41939</v>
      </c>
      <c r="AF303" s="12">
        <f t="shared" si="13"/>
        <v>2</v>
      </c>
      <c r="AG303" s="11">
        <f t="shared" si="14"/>
        <v>41943</v>
      </c>
      <c r="AH303" s="11">
        <f t="shared" si="15"/>
        <v>41947</v>
      </c>
    </row>
    <row r="304" spans="31:34">
      <c r="AE304" s="11">
        <v>41940</v>
      </c>
      <c r="AF304" s="12">
        <f t="shared" si="13"/>
        <v>3</v>
      </c>
      <c r="AG304" s="11">
        <f t="shared" si="14"/>
        <v>41946</v>
      </c>
      <c r="AH304" s="11">
        <f t="shared" si="15"/>
        <v>41948</v>
      </c>
    </row>
    <row r="305" spans="31:34">
      <c r="AE305" s="11">
        <v>41941</v>
      </c>
      <c r="AF305" s="12">
        <f t="shared" si="13"/>
        <v>4</v>
      </c>
      <c r="AG305" s="11">
        <f t="shared" si="14"/>
        <v>41946</v>
      </c>
      <c r="AH305" s="11">
        <f t="shared" si="15"/>
        <v>41948</v>
      </c>
    </row>
    <row r="306" spans="31:34">
      <c r="AE306" s="11">
        <v>41942</v>
      </c>
      <c r="AF306" s="12">
        <f t="shared" si="13"/>
        <v>5</v>
      </c>
      <c r="AG306" s="11">
        <f t="shared" si="14"/>
        <v>41947</v>
      </c>
      <c r="AH306" s="11">
        <f t="shared" si="15"/>
        <v>41949</v>
      </c>
    </row>
    <row r="307" spans="31:34">
      <c r="AE307" s="11">
        <v>41943</v>
      </c>
      <c r="AF307" s="12">
        <f t="shared" si="13"/>
        <v>6</v>
      </c>
      <c r="AG307" s="11">
        <f t="shared" si="14"/>
        <v>41948</v>
      </c>
      <c r="AH307" s="11">
        <f t="shared" si="15"/>
        <v>41950</v>
      </c>
    </row>
    <row r="308" spans="31:34">
      <c r="AE308" s="11">
        <v>41944</v>
      </c>
      <c r="AF308" s="12">
        <f t="shared" si="13"/>
        <v>7</v>
      </c>
      <c r="AG308" s="11">
        <f t="shared" si="14"/>
        <v>41949</v>
      </c>
      <c r="AH308" s="11">
        <f t="shared" si="15"/>
        <v>41953</v>
      </c>
    </row>
    <row r="309" spans="31:34">
      <c r="AE309" s="11">
        <v>41945</v>
      </c>
      <c r="AF309" s="12">
        <f t="shared" si="13"/>
        <v>1</v>
      </c>
      <c r="AG309" s="11">
        <f t="shared" si="14"/>
        <v>41949</v>
      </c>
      <c r="AH309" s="11">
        <f t="shared" si="15"/>
        <v>41953</v>
      </c>
    </row>
    <row r="310" spans="31:34">
      <c r="AE310" s="11">
        <v>41946</v>
      </c>
      <c r="AF310" s="12">
        <f t="shared" si="13"/>
        <v>2</v>
      </c>
      <c r="AG310" s="11">
        <f t="shared" si="14"/>
        <v>41950</v>
      </c>
      <c r="AH310" s="11">
        <f t="shared" si="15"/>
        <v>41955</v>
      </c>
    </row>
    <row r="311" spans="31:34">
      <c r="AE311" s="11">
        <v>41947</v>
      </c>
      <c r="AF311" s="12">
        <f t="shared" si="13"/>
        <v>3</v>
      </c>
      <c r="AG311" s="11">
        <f t="shared" si="14"/>
        <v>41953</v>
      </c>
      <c r="AH311" s="11">
        <f t="shared" si="15"/>
        <v>41956</v>
      </c>
    </row>
    <row r="312" spans="31:34">
      <c r="AE312" s="11">
        <v>41948</v>
      </c>
      <c r="AF312" s="12">
        <f t="shared" si="13"/>
        <v>4</v>
      </c>
      <c r="AG312" s="11">
        <f t="shared" si="14"/>
        <v>41953</v>
      </c>
      <c r="AH312" s="11">
        <f t="shared" si="15"/>
        <v>41956</v>
      </c>
    </row>
    <row r="313" spans="31:34">
      <c r="AE313" s="11">
        <v>41949</v>
      </c>
      <c r="AF313" s="12">
        <f t="shared" si="13"/>
        <v>5</v>
      </c>
      <c r="AG313" s="11">
        <v>41955</v>
      </c>
      <c r="AH313" s="11">
        <f t="shared" si="15"/>
        <v>41957</v>
      </c>
    </row>
    <row r="314" spans="31:34">
      <c r="AE314" s="11">
        <v>41950</v>
      </c>
      <c r="AF314" s="12">
        <f t="shared" si="13"/>
        <v>6</v>
      </c>
      <c r="AG314" s="11">
        <v>41956</v>
      </c>
      <c r="AH314" s="11">
        <f t="shared" si="15"/>
        <v>41960</v>
      </c>
    </row>
    <row r="315" spans="31:34">
      <c r="AE315" s="11">
        <v>41951</v>
      </c>
      <c r="AF315" s="12">
        <f t="shared" si="13"/>
        <v>7</v>
      </c>
      <c r="AG315" s="11">
        <v>41957</v>
      </c>
      <c r="AH315" s="11">
        <f t="shared" si="15"/>
        <v>41961</v>
      </c>
    </row>
    <row r="316" spans="31:34">
      <c r="AE316" s="11">
        <v>41952</v>
      </c>
      <c r="AF316" s="12">
        <f t="shared" si="13"/>
        <v>1</v>
      </c>
      <c r="AG316" s="11">
        <v>41957</v>
      </c>
      <c r="AH316" s="11">
        <f t="shared" si="15"/>
        <v>41961</v>
      </c>
    </row>
    <row r="317" spans="31:34">
      <c r="AE317" s="11">
        <v>41953</v>
      </c>
      <c r="AF317" s="12">
        <f t="shared" si="13"/>
        <v>2</v>
      </c>
      <c r="AG317" s="11">
        <v>41960</v>
      </c>
      <c r="AH317" s="11">
        <f t="shared" si="15"/>
        <v>41962</v>
      </c>
    </row>
    <row r="318" spans="31:34">
      <c r="AE318" s="11">
        <v>41954</v>
      </c>
      <c r="AF318" s="12">
        <f t="shared" si="13"/>
        <v>3</v>
      </c>
      <c r="AG318" s="11">
        <f t="shared" si="14"/>
        <v>41960</v>
      </c>
      <c r="AH318" s="11">
        <f t="shared" si="15"/>
        <v>41962</v>
      </c>
    </row>
    <row r="319" spans="31:34">
      <c r="AE319" s="11">
        <v>41955</v>
      </c>
      <c r="AF319" s="12">
        <f t="shared" si="13"/>
        <v>4</v>
      </c>
      <c r="AG319" s="11">
        <f t="shared" si="14"/>
        <v>41960</v>
      </c>
      <c r="AH319" s="11">
        <f t="shared" si="15"/>
        <v>41962</v>
      </c>
    </row>
    <row r="320" spans="31:34">
      <c r="AE320" s="11">
        <v>41956</v>
      </c>
      <c r="AF320" s="12">
        <f t="shared" si="13"/>
        <v>5</v>
      </c>
      <c r="AG320" s="11">
        <f t="shared" si="14"/>
        <v>41961</v>
      </c>
      <c r="AH320" s="11">
        <f t="shared" si="15"/>
        <v>41963</v>
      </c>
    </row>
    <row r="321" spans="31:34">
      <c r="AE321" s="11">
        <v>41957</v>
      </c>
      <c r="AF321" s="12">
        <f t="shared" si="13"/>
        <v>6</v>
      </c>
      <c r="AG321" s="11">
        <f t="shared" si="14"/>
        <v>41962</v>
      </c>
      <c r="AH321" s="11">
        <f t="shared" si="15"/>
        <v>41964</v>
      </c>
    </row>
    <row r="322" spans="31:34">
      <c r="AE322" s="11">
        <v>41958</v>
      </c>
      <c r="AF322" s="12">
        <f t="shared" si="13"/>
        <v>7</v>
      </c>
      <c r="AG322" s="11">
        <f t="shared" si="14"/>
        <v>41963</v>
      </c>
      <c r="AH322" s="11">
        <f t="shared" si="15"/>
        <v>41967</v>
      </c>
    </row>
    <row r="323" spans="31:34">
      <c r="AE323" s="11">
        <v>41959</v>
      </c>
      <c r="AF323" s="12">
        <f t="shared" si="13"/>
        <v>1</v>
      </c>
      <c r="AG323" s="11">
        <f t="shared" si="14"/>
        <v>41963</v>
      </c>
      <c r="AH323" s="11">
        <f t="shared" si="15"/>
        <v>41967</v>
      </c>
    </row>
    <row r="324" spans="31:34">
      <c r="AE324" s="11">
        <v>41960</v>
      </c>
      <c r="AF324" s="12">
        <f t="shared" si="13"/>
        <v>2</v>
      </c>
      <c r="AG324" s="11">
        <f t="shared" si="14"/>
        <v>41964</v>
      </c>
      <c r="AH324" s="11">
        <f t="shared" si="15"/>
        <v>41968</v>
      </c>
    </row>
    <row r="325" spans="31:34">
      <c r="AE325" s="11">
        <v>41961</v>
      </c>
      <c r="AF325" s="12">
        <f t="shared" ref="AF325:AF388" si="16">WEEKDAY(AE325)</f>
        <v>3</v>
      </c>
      <c r="AG325" s="11">
        <f t="shared" ref="AG325:AG388" si="17">AE325+(VLOOKUP(AF325, $AJ$4:$AK$10, 2, FALSE))</f>
        <v>41967</v>
      </c>
      <c r="AH325" s="11">
        <f t="shared" ref="AH325:AH388" si="18">IFERROR((WORKDAY(AG325, 2, AC$4:AC$53)), "")</f>
        <v>41969</v>
      </c>
    </row>
    <row r="326" spans="31:34">
      <c r="AE326" s="11">
        <v>41962</v>
      </c>
      <c r="AF326" s="12">
        <f t="shared" si="16"/>
        <v>4</v>
      </c>
      <c r="AG326" s="11">
        <f t="shared" si="17"/>
        <v>41967</v>
      </c>
      <c r="AH326" s="11">
        <f t="shared" si="18"/>
        <v>41969</v>
      </c>
    </row>
    <row r="327" spans="31:34">
      <c r="AE327" s="11">
        <v>41963</v>
      </c>
      <c r="AF327" s="12">
        <f t="shared" si="16"/>
        <v>5</v>
      </c>
      <c r="AG327" s="11">
        <f t="shared" si="17"/>
        <v>41968</v>
      </c>
      <c r="AH327" s="11">
        <f t="shared" si="18"/>
        <v>41971</v>
      </c>
    </row>
    <row r="328" spans="31:34">
      <c r="AE328" s="11">
        <v>41964</v>
      </c>
      <c r="AF328" s="12">
        <f t="shared" si="16"/>
        <v>6</v>
      </c>
      <c r="AG328" s="11">
        <f t="shared" si="17"/>
        <v>41969</v>
      </c>
      <c r="AH328" s="11">
        <f t="shared" si="18"/>
        <v>41974</v>
      </c>
    </row>
    <row r="329" spans="31:34">
      <c r="AE329" s="11">
        <v>41965</v>
      </c>
      <c r="AF329" s="12">
        <f t="shared" si="16"/>
        <v>7</v>
      </c>
      <c r="AG329" s="11">
        <v>41971</v>
      </c>
      <c r="AH329" s="11">
        <f t="shared" si="18"/>
        <v>41975</v>
      </c>
    </row>
    <row r="330" spans="31:34">
      <c r="AE330" s="11">
        <v>41966</v>
      </c>
      <c r="AF330" s="12">
        <f t="shared" si="16"/>
        <v>1</v>
      </c>
      <c r="AG330" s="11">
        <v>41971</v>
      </c>
      <c r="AH330" s="11">
        <f t="shared" si="18"/>
        <v>41975</v>
      </c>
    </row>
    <row r="331" spans="31:34">
      <c r="AE331" s="11">
        <v>41967</v>
      </c>
      <c r="AF331" s="12">
        <f t="shared" si="16"/>
        <v>2</v>
      </c>
      <c r="AG331" s="11">
        <v>41974</v>
      </c>
      <c r="AH331" s="11">
        <f t="shared" si="18"/>
        <v>41976</v>
      </c>
    </row>
    <row r="332" spans="31:34">
      <c r="AE332" s="11">
        <v>41968</v>
      </c>
      <c r="AF332" s="12">
        <f t="shared" si="16"/>
        <v>3</v>
      </c>
      <c r="AG332" s="11">
        <f t="shared" si="17"/>
        <v>41974</v>
      </c>
      <c r="AH332" s="11">
        <f t="shared" si="18"/>
        <v>41976</v>
      </c>
    </row>
    <row r="333" spans="31:34">
      <c r="AE333" s="11">
        <v>41969</v>
      </c>
      <c r="AF333" s="12">
        <f t="shared" si="16"/>
        <v>4</v>
      </c>
      <c r="AG333" s="11">
        <v>41975</v>
      </c>
      <c r="AH333" s="11">
        <f t="shared" si="18"/>
        <v>41977</v>
      </c>
    </row>
    <row r="334" spans="31:34">
      <c r="AE334" s="11">
        <v>41970</v>
      </c>
      <c r="AF334" s="12">
        <f t="shared" si="16"/>
        <v>5</v>
      </c>
      <c r="AG334" s="11">
        <f t="shared" si="17"/>
        <v>41975</v>
      </c>
      <c r="AH334" s="11">
        <f t="shared" si="18"/>
        <v>41977</v>
      </c>
    </row>
    <row r="335" spans="31:34">
      <c r="AE335" s="11">
        <v>41971</v>
      </c>
      <c r="AF335" s="12">
        <f t="shared" si="16"/>
        <v>6</v>
      </c>
      <c r="AG335" s="11">
        <f t="shared" si="17"/>
        <v>41976</v>
      </c>
      <c r="AH335" s="11">
        <f t="shared" si="18"/>
        <v>41978</v>
      </c>
    </row>
    <row r="336" spans="31:34">
      <c r="AE336" s="11">
        <v>41972</v>
      </c>
      <c r="AF336" s="12">
        <f t="shared" si="16"/>
        <v>7</v>
      </c>
      <c r="AG336" s="11">
        <f t="shared" si="17"/>
        <v>41977</v>
      </c>
      <c r="AH336" s="11">
        <f t="shared" si="18"/>
        <v>41981</v>
      </c>
    </row>
    <row r="337" spans="31:34">
      <c r="AE337" s="11">
        <v>41973</v>
      </c>
      <c r="AF337" s="12">
        <f t="shared" si="16"/>
        <v>1</v>
      </c>
      <c r="AG337" s="11">
        <f t="shared" si="17"/>
        <v>41977</v>
      </c>
      <c r="AH337" s="11">
        <f t="shared" si="18"/>
        <v>41981</v>
      </c>
    </row>
    <row r="338" spans="31:34">
      <c r="AE338" s="11">
        <v>41974</v>
      </c>
      <c r="AF338" s="12">
        <f t="shared" si="16"/>
        <v>2</v>
      </c>
      <c r="AG338" s="11">
        <f t="shared" si="17"/>
        <v>41978</v>
      </c>
      <c r="AH338" s="11">
        <f t="shared" si="18"/>
        <v>41982</v>
      </c>
    </row>
    <row r="339" spans="31:34">
      <c r="AE339" s="11">
        <v>41975</v>
      </c>
      <c r="AF339" s="12">
        <f t="shared" si="16"/>
        <v>3</v>
      </c>
      <c r="AG339" s="11">
        <f t="shared" si="17"/>
        <v>41981</v>
      </c>
      <c r="AH339" s="11">
        <f t="shared" si="18"/>
        <v>41983</v>
      </c>
    </row>
    <row r="340" spans="31:34">
      <c r="AE340" s="11">
        <v>41976</v>
      </c>
      <c r="AF340" s="12">
        <f t="shared" si="16"/>
        <v>4</v>
      </c>
      <c r="AG340" s="11">
        <f t="shared" si="17"/>
        <v>41981</v>
      </c>
      <c r="AH340" s="11">
        <f t="shared" si="18"/>
        <v>41983</v>
      </c>
    </row>
    <row r="341" spans="31:34">
      <c r="AE341" s="11">
        <v>41977</v>
      </c>
      <c r="AF341" s="12">
        <f t="shared" si="16"/>
        <v>5</v>
      </c>
      <c r="AG341" s="11">
        <f t="shared" si="17"/>
        <v>41982</v>
      </c>
      <c r="AH341" s="11">
        <f t="shared" si="18"/>
        <v>41984</v>
      </c>
    </row>
    <row r="342" spans="31:34">
      <c r="AE342" s="11">
        <v>41978</v>
      </c>
      <c r="AF342" s="12">
        <f t="shared" si="16"/>
        <v>6</v>
      </c>
      <c r="AG342" s="11">
        <f t="shared" si="17"/>
        <v>41983</v>
      </c>
      <c r="AH342" s="11">
        <f t="shared" si="18"/>
        <v>41985</v>
      </c>
    </row>
    <row r="343" spans="31:34">
      <c r="AE343" s="11">
        <v>41979</v>
      </c>
      <c r="AF343" s="12">
        <f t="shared" si="16"/>
        <v>7</v>
      </c>
      <c r="AG343" s="11">
        <f t="shared" si="17"/>
        <v>41984</v>
      </c>
      <c r="AH343" s="11">
        <f t="shared" si="18"/>
        <v>41988</v>
      </c>
    </row>
    <row r="344" spans="31:34">
      <c r="AE344" s="11">
        <v>41980</v>
      </c>
      <c r="AF344" s="12">
        <f t="shared" si="16"/>
        <v>1</v>
      </c>
      <c r="AG344" s="11">
        <f t="shared" si="17"/>
        <v>41984</v>
      </c>
      <c r="AH344" s="11">
        <f t="shared" si="18"/>
        <v>41988</v>
      </c>
    </row>
    <row r="345" spans="31:34">
      <c r="AE345" s="11">
        <v>41981</v>
      </c>
      <c r="AF345" s="12">
        <f t="shared" si="16"/>
        <v>2</v>
      </c>
      <c r="AG345" s="11">
        <f t="shared" si="17"/>
        <v>41985</v>
      </c>
      <c r="AH345" s="11">
        <f t="shared" si="18"/>
        <v>41989</v>
      </c>
    </row>
    <row r="346" spans="31:34">
      <c r="AE346" s="11">
        <v>41982</v>
      </c>
      <c r="AF346" s="12">
        <f t="shared" si="16"/>
        <v>3</v>
      </c>
      <c r="AG346" s="11">
        <f t="shared" si="17"/>
        <v>41988</v>
      </c>
      <c r="AH346" s="11">
        <f t="shared" si="18"/>
        <v>41990</v>
      </c>
    </row>
    <row r="347" spans="31:34">
      <c r="AE347" s="11">
        <v>41983</v>
      </c>
      <c r="AF347" s="12">
        <f t="shared" si="16"/>
        <v>4</v>
      </c>
      <c r="AG347" s="11">
        <f t="shared" si="17"/>
        <v>41988</v>
      </c>
      <c r="AH347" s="11">
        <f t="shared" si="18"/>
        <v>41990</v>
      </c>
    </row>
    <row r="348" spans="31:34">
      <c r="AE348" s="11">
        <v>41984</v>
      </c>
      <c r="AF348" s="12">
        <f t="shared" si="16"/>
        <v>5</v>
      </c>
      <c r="AG348" s="11">
        <f t="shared" si="17"/>
        <v>41989</v>
      </c>
      <c r="AH348" s="11">
        <f t="shared" si="18"/>
        <v>41991</v>
      </c>
    </row>
    <row r="349" spans="31:34">
      <c r="AE349" s="11">
        <v>41985</v>
      </c>
      <c r="AF349" s="12">
        <f t="shared" si="16"/>
        <v>6</v>
      </c>
      <c r="AG349" s="11">
        <f t="shared" si="17"/>
        <v>41990</v>
      </c>
      <c r="AH349" s="11">
        <f t="shared" si="18"/>
        <v>41992</v>
      </c>
    </row>
    <row r="350" spans="31:34">
      <c r="AE350" s="11">
        <v>41986</v>
      </c>
      <c r="AF350" s="12">
        <f t="shared" si="16"/>
        <v>7</v>
      </c>
      <c r="AG350" s="11">
        <f t="shared" si="17"/>
        <v>41991</v>
      </c>
      <c r="AH350" s="11">
        <f t="shared" si="18"/>
        <v>41995</v>
      </c>
    </row>
    <row r="351" spans="31:34">
      <c r="AE351" s="11">
        <v>41987</v>
      </c>
      <c r="AF351" s="12">
        <f t="shared" si="16"/>
        <v>1</v>
      </c>
      <c r="AG351" s="11">
        <f t="shared" si="17"/>
        <v>41991</v>
      </c>
      <c r="AH351" s="11">
        <f t="shared" si="18"/>
        <v>41995</v>
      </c>
    </row>
    <row r="352" spans="31:34">
      <c r="AE352" s="11">
        <v>41988</v>
      </c>
      <c r="AF352" s="12">
        <f t="shared" si="16"/>
        <v>2</v>
      </c>
      <c r="AG352" s="11">
        <f t="shared" si="17"/>
        <v>41992</v>
      </c>
      <c r="AH352" s="11">
        <f t="shared" si="18"/>
        <v>41996</v>
      </c>
    </row>
    <row r="353" spans="31:34">
      <c r="AE353" s="11">
        <v>41989</v>
      </c>
      <c r="AF353" s="12">
        <f t="shared" si="16"/>
        <v>3</v>
      </c>
      <c r="AG353" s="11">
        <f t="shared" si="17"/>
        <v>41995</v>
      </c>
      <c r="AH353" s="11">
        <f t="shared" si="18"/>
        <v>41997</v>
      </c>
    </row>
    <row r="354" spans="31:34">
      <c r="AE354" s="11">
        <v>41990</v>
      </c>
      <c r="AF354" s="12">
        <f t="shared" si="16"/>
        <v>4</v>
      </c>
      <c r="AG354" s="11">
        <f t="shared" si="17"/>
        <v>41995</v>
      </c>
      <c r="AH354" s="11">
        <f t="shared" si="18"/>
        <v>41997</v>
      </c>
    </row>
    <row r="355" spans="31:34">
      <c r="AE355" s="11">
        <v>41991</v>
      </c>
      <c r="AF355" s="12">
        <f t="shared" si="16"/>
        <v>5</v>
      </c>
      <c r="AG355" s="11">
        <f t="shared" si="17"/>
        <v>41996</v>
      </c>
      <c r="AH355" s="11">
        <f t="shared" si="18"/>
        <v>41999</v>
      </c>
    </row>
    <row r="356" spans="31:34">
      <c r="AE356" s="11">
        <v>41992</v>
      </c>
      <c r="AF356" s="12">
        <f t="shared" si="16"/>
        <v>6</v>
      </c>
      <c r="AG356" s="11">
        <f t="shared" si="17"/>
        <v>41997</v>
      </c>
      <c r="AH356" s="11">
        <f t="shared" si="18"/>
        <v>42002</v>
      </c>
    </row>
    <row r="357" spans="31:34">
      <c r="AE357" s="11">
        <v>41993</v>
      </c>
      <c r="AF357" s="12">
        <f t="shared" si="16"/>
        <v>7</v>
      </c>
      <c r="AG357" s="11">
        <v>41999</v>
      </c>
      <c r="AH357" s="11">
        <f t="shared" si="18"/>
        <v>42003</v>
      </c>
    </row>
    <row r="358" spans="31:34">
      <c r="AE358" s="11">
        <v>41994</v>
      </c>
      <c r="AF358" s="12">
        <f t="shared" si="16"/>
        <v>1</v>
      </c>
      <c r="AG358" s="11">
        <v>41999</v>
      </c>
      <c r="AH358" s="11">
        <f t="shared" si="18"/>
        <v>42003</v>
      </c>
    </row>
    <row r="359" spans="31:34">
      <c r="AE359" s="11">
        <v>41995</v>
      </c>
      <c r="AF359" s="12">
        <f t="shared" si="16"/>
        <v>2</v>
      </c>
      <c r="AG359" s="11">
        <v>42002</v>
      </c>
      <c r="AH359" s="11">
        <f t="shared" si="18"/>
        <v>42004</v>
      </c>
    </row>
    <row r="360" spans="31:34">
      <c r="AE360" s="11">
        <v>41996</v>
      </c>
      <c r="AF360" s="12">
        <f t="shared" si="16"/>
        <v>3</v>
      </c>
      <c r="AG360" s="11">
        <f t="shared" si="17"/>
        <v>42002</v>
      </c>
      <c r="AH360" s="11">
        <f t="shared" si="18"/>
        <v>42004</v>
      </c>
    </row>
    <row r="361" spans="31:34">
      <c r="AE361" s="11">
        <v>41997</v>
      </c>
      <c r="AF361" s="12">
        <f t="shared" si="16"/>
        <v>4</v>
      </c>
      <c r="AG361" s="11">
        <v>42003</v>
      </c>
      <c r="AH361" s="11">
        <f t="shared" si="18"/>
        <v>42006</v>
      </c>
    </row>
    <row r="362" spans="31:34">
      <c r="AE362" s="11">
        <v>41998</v>
      </c>
      <c r="AF362" s="12">
        <f t="shared" si="16"/>
        <v>5</v>
      </c>
      <c r="AG362" s="11">
        <f t="shared" si="17"/>
        <v>42003</v>
      </c>
      <c r="AH362" s="11">
        <f t="shared" si="18"/>
        <v>42006</v>
      </c>
    </row>
    <row r="363" spans="31:34">
      <c r="AE363" s="11">
        <v>41999</v>
      </c>
      <c r="AF363" s="12">
        <f t="shared" si="16"/>
        <v>6</v>
      </c>
      <c r="AG363" s="11">
        <f t="shared" si="17"/>
        <v>42004</v>
      </c>
      <c r="AH363" s="11">
        <f t="shared" si="18"/>
        <v>42009</v>
      </c>
    </row>
    <row r="364" spans="31:34">
      <c r="AE364" s="11">
        <v>42000</v>
      </c>
      <c r="AF364" s="12">
        <f t="shared" si="16"/>
        <v>7</v>
      </c>
      <c r="AG364" s="11">
        <v>42006</v>
      </c>
      <c r="AH364" s="11">
        <f t="shared" si="18"/>
        <v>42010</v>
      </c>
    </row>
    <row r="365" spans="31:34">
      <c r="AE365" s="11">
        <v>42001</v>
      </c>
      <c r="AF365" s="12">
        <f t="shared" si="16"/>
        <v>1</v>
      </c>
      <c r="AG365" s="11">
        <v>42006</v>
      </c>
      <c r="AH365" s="11">
        <f t="shared" si="18"/>
        <v>42010</v>
      </c>
    </row>
    <row r="366" spans="31:34">
      <c r="AE366" s="11">
        <v>42002</v>
      </c>
      <c r="AF366" s="12">
        <f t="shared" si="16"/>
        <v>2</v>
      </c>
      <c r="AG366" s="11">
        <v>42009</v>
      </c>
      <c r="AH366" s="11">
        <f t="shared" si="18"/>
        <v>42011</v>
      </c>
    </row>
    <row r="367" spans="31:34">
      <c r="AE367" s="11">
        <v>42003</v>
      </c>
      <c r="AF367" s="12">
        <f t="shared" si="16"/>
        <v>3</v>
      </c>
      <c r="AG367" s="11">
        <f t="shared" si="17"/>
        <v>42009</v>
      </c>
      <c r="AH367" s="11">
        <f t="shared" si="18"/>
        <v>42011</v>
      </c>
    </row>
    <row r="368" spans="31:34">
      <c r="AE368" s="11">
        <v>42004</v>
      </c>
      <c r="AF368" s="12">
        <f t="shared" si="16"/>
        <v>4</v>
      </c>
      <c r="AG368" s="11">
        <v>42010</v>
      </c>
      <c r="AH368" s="11">
        <f t="shared" si="18"/>
        <v>42012</v>
      </c>
    </row>
    <row r="369" spans="31:34">
      <c r="AE369" s="11">
        <v>42005</v>
      </c>
      <c r="AF369" s="12">
        <f t="shared" si="16"/>
        <v>5</v>
      </c>
      <c r="AG369" s="11">
        <f t="shared" si="17"/>
        <v>42010</v>
      </c>
      <c r="AH369" s="11">
        <f t="shared" si="18"/>
        <v>42012</v>
      </c>
    </row>
    <row r="370" spans="31:34">
      <c r="AE370" s="11">
        <v>42006</v>
      </c>
      <c r="AF370" s="12">
        <f t="shared" si="16"/>
        <v>6</v>
      </c>
      <c r="AG370" s="11">
        <f t="shared" si="17"/>
        <v>42011</v>
      </c>
      <c r="AH370" s="11">
        <f t="shared" si="18"/>
        <v>42013</v>
      </c>
    </row>
    <row r="371" spans="31:34">
      <c r="AE371" s="11">
        <v>42007</v>
      </c>
      <c r="AF371" s="12">
        <f t="shared" si="16"/>
        <v>7</v>
      </c>
      <c r="AG371" s="11">
        <f t="shared" si="17"/>
        <v>42012</v>
      </c>
      <c r="AH371" s="11">
        <f t="shared" si="18"/>
        <v>42016</v>
      </c>
    </row>
    <row r="372" spans="31:34">
      <c r="AE372" s="11">
        <v>42008</v>
      </c>
      <c r="AF372" s="12">
        <f t="shared" si="16"/>
        <v>1</v>
      </c>
      <c r="AG372" s="11">
        <f t="shared" si="17"/>
        <v>42012</v>
      </c>
      <c r="AH372" s="11">
        <f t="shared" si="18"/>
        <v>42016</v>
      </c>
    </row>
    <row r="373" spans="31:34">
      <c r="AE373" s="11">
        <v>42009</v>
      </c>
      <c r="AF373" s="12">
        <f t="shared" si="16"/>
        <v>2</v>
      </c>
      <c r="AG373" s="11">
        <f t="shared" si="17"/>
        <v>42013</v>
      </c>
      <c r="AH373" s="11">
        <f t="shared" si="18"/>
        <v>42017</v>
      </c>
    </row>
    <row r="374" spans="31:34">
      <c r="AE374" s="11">
        <v>42010</v>
      </c>
      <c r="AF374" s="12">
        <f t="shared" si="16"/>
        <v>3</v>
      </c>
      <c r="AG374" s="11">
        <f t="shared" si="17"/>
        <v>42016</v>
      </c>
      <c r="AH374" s="11">
        <f t="shared" si="18"/>
        <v>42018</v>
      </c>
    </row>
    <row r="375" spans="31:34">
      <c r="AE375" s="11">
        <v>42011</v>
      </c>
      <c r="AF375" s="12">
        <f t="shared" si="16"/>
        <v>4</v>
      </c>
      <c r="AG375" s="11">
        <f t="shared" si="17"/>
        <v>42016</v>
      </c>
      <c r="AH375" s="11">
        <f t="shared" si="18"/>
        <v>42018</v>
      </c>
    </row>
    <row r="376" spans="31:34">
      <c r="AE376" s="11">
        <v>42012</v>
      </c>
      <c r="AF376" s="12">
        <f t="shared" si="16"/>
        <v>5</v>
      </c>
      <c r="AG376" s="11">
        <f t="shared" si="17"/>
        <v>42017</v>
      </c>
      <c r="AH376" s="11">
        <f t="shared" si="18"/>
        <v>42019</v>
      </c>
    </row>
    <row r="377" spans="31:34">
      <c r="AE377" s="11">
        <v>42013</v>
      </c>
      <c r="AF377" s="12">
        <f t="shared" si="16"/>
        <v>6</v>
      </c>
      <c r="AG377" s="11">
        <f t="shared" si="17"/>
        <v>42018</v>
      </c>
      <c r="AH377" s="11">
        <f t="shared" si="18"/>
        <v>42020</v>
      </c>
    </row>
    <row r="378" spans="31:34">
      <c r="AE378" s="11">
        <v>42014</v>
      </c>
      <c r="AF378" s="12">
        <f t="shared" si="16"/>
        <v>7</v>
      </c>
      <c r="AG378" s="11">
        <f t="shared" si="17"/>
        <v>42019</v>
      </c>
      <c r="AH378" s="11">
        <f t="shared" si="18"/>
        <v>42024</v>
      </c>
    </row>
    <row r="379" spans="31:34">
      <c r="AE379" s="11">
        <v>42015</v>
      </c>
      <c r="AF379" s="12">
        <f t="shared" si="16"/>
        <v>1</v>
      </c>
      <c r="AG379" s="11">
        <f t="shared" si="17"/>
        <v>42019</v>
      </c>
      <c r="AH379" s="11">
        <f t="shared" si="18"/>
        <v>42024</v>
      </c>
    </row>
    <row r="380" spans="31:34">
      <c r="AE380" s="11">
        <v>42016</v>
      </c>
      <c r="AF380" s="12">
        <f t="shared" si="16"/>
        <v>2</v>
      </c>
      <c r="AG380" s="11">
        <f t="shared" si="17"/>
        <v>42020</v>
      </c>
      <c r="AH380" s="11">
        <f t="shared" si="18"/>
        <v>42025</v>
      </c>
    </row>
    <row r="381" spans="31:34">
      <c r="AE381" s="11">
        <v>42017</v>
      </c>
      <c r="AF381" s="12">
        <f t="shared" si="16"/>
        <v>3</v>
      </c>
      <c r="AG381" s="11">
        <v>42024</v>
      </c>
      <c r="AH381" s="11">
        <f t="shared" si="18"/>
        <v>42026</v>
      </c>
    </row>
    <row r="382" spans="31:34">
      <c r="AE382" s="11">
        <v>42018</v>
      </c>
      <c r="AF382" s="12">
        <f t="shared" si="16"/>
        <v>4</v>
      </c>
      <c r="AG382" s="11">
        <v>42024</v>
      </c>
      <c r="AH382" s="11">
        <f t="shared" si="18"/>
        <v>42026</v>
      </c>
    </row>
    <row r="383" spans="31:34">
      <c r="AE383" s="11">
        <v>42019</v>
      </c>
      <c r="AF383" s="12">
        <f t="shared" si="16"/>
        <v>5</v>
      </c>
      <c r="AG383" s="11">
        <v>42025</v>
      </c>
      <c r="AH383" s="11">
        <f t="shared" si="18"/>
        <v>42027</v>
      </c>
    </row>
    <row r="384" spans="31:34">
      <c r="AE384" s="11">
        <v>42020</v>
      </c>
      <c r="AF384" s="12">
        <f t="shared" si="16"/>
        <v>6</v>
      </c>
      <c r="AG384" s="11">
        <v>42026</v>
      </c>
      <c r="AH384" s="11">
        <f t="shared" si="18"/>
        <v>42030</v>
      </c>
    </row>
    <row r="385" spans="31:34">
      <c r="AE385" s="11">
        <v>42021</v>
      </c>
      <c r="AF385" s="12">
        <f t="shared" si="16"/>
        <v>7</v>
      </c>
      <c r="AG385" s="11">
        <v>42027</v>
      </c>
      <c r="AH385" s="11">
        <f t="shared" si="18"/>
        <v>42031</v>
      </c>
    </row>
    <row r="386" spans="31:34">
      <c r="AE386" s="11">
        <v>42022</v>
      </c>
      <c r="AF386" s="12">
        <f t="shared" si="16"/>
        <v>1</v>
      </c>
      <c r="AG386" s="11">
        <v>42027</v>
      </c>
      <c r="AH386" s="11">
        <f t="shared" si="18"/>
        <v>42031</v>
      </c>
    </row>
    <row r="387" spans="31:34">
      <c r="AE387" s="11">
        <v>42023</v>
      </c>
      <c r="AF387" s="12">
        <f t="shared" si="16"/>
        <v>2</v>
      </c>
      <c r="AG387" s="11">
        <f t="shared" si="17"/>
        <v>42027</v>
      </c>
      <c r="AH387" s="11">
        <f t="shared" si="18"/>
        <v>42031</v>
      </c>
    </row>
    <row r="388" spans="31:34">
      <c r="AE388" s="11">
        <v>42024</v>
      </c>
      <c r="AF388" s="12">
        <f t="shared" si="16"/>
        <v>3</v>
      </c>
      <c r="AG388" s="11">
        <f t="shared" si="17"/>
        <v>42030</v>
      </c>
      <c r="AH388" s="11">
        <f t="shared" si="18"/>
        <v>42032</v>
      </c>
    </row>
    <row r="389" spans="31:34">
      <c r="AE389" s="11">
        <v>42025</v>
      </c>
      <c r="AF389" s="12">
        <f t="shared" ref="AF389:AF452" si="19">WEEKDAY(AE389)</f>
        <v>4</v>
      </c>
      <c r="AG389" s="11">
        <f t="shared" ref="AG389:AG452" si="20">AE389+(VLOOKUP(AF389, $AJ$4:$AK$10, 2, FALSE))</f>
        <v>42030</v>
      </c>
      <c r="AH389" s="11">
        <f t="shared" ref="AH389:AH452" si="21">IFERROR((WORKDAY(AG389, 2, AC$4:AC$53)), "")</f>
        <v>42032</v>
      </c>
    </row>
    <row r="390" spans="31:34">
      <c r="AE390" s="11">
        <v>42026</v>
      </c>
      <c r="AF390" s="12">
        <f t="shared" si="19"/>
        <v>5</v>
      </c>
      <c r="AG390" s="11">
        <f t="shared" si="20"/>
        <v>42031</v>
      </c>
      <c r="AH390" s="11">
        <f t="shared" si="21"/>
        <v>42033</v>
      </c>
    </row>
    <row r="391" spans="31:34">
      <c r="AE391" s="11">
        <v>42027</v>
      </c>
      <c r="AF391" s="12">
        <f t="shared" si="19"/>
        <v>6</v>
      </c>
      <c r="AG391" s="11">
        <f t="shared" si="20"/>
        <v>42032</v>
      </c>
      <c r="AH391" s="11">
        <f t="shared" si="21"/>
        <v>42034</v>
      </c>
    </row>
    <row r="392" spans="31:34">
      <c r="AE392" s="11">
        <v>42028</v>
      </c>
      <c r="AF392" s="12">
        <f t="shared" si="19"/>
        <v>7</v>
      </c>
      <c r="AG392" s="11">
        <f t="shared" si="20"/>
        <v>42033</v>
      </c>
      <c r="AH392" s="11">
        <f t="shared" si="21"/>
        <v>42037</v>
      </c>
    </row>
    <row r="393" spans="31:34">
      <c r="AE393" s="11">
        <v>42029</v>
      </c>
      <c r="AF393" s="12">
        <f t="shared" si="19"/>
        <v>1</v>
      </c>
      <c r="AG393" s="11">
        <f t="shared" si="20"/>
        <v>42033</v>
      </c>
      <c r="AH393" s="11">
        <f t="shared" si="21"/>
        <v>42037</v>
      </c>
    </row>
    <row r="394" spans="31:34">
      <c r="AE394" s="11">
        <v>42030</v>
      </c>
      <c r="AF394" s="12">
        <f t="shared" si="19"/>
        <v>2</v>
      </c>
      <c r="AG394" s="11">
        <f t="shared" si="20"/>
        <v>42034</v>
      </c>
      <c r="AH394" s="11">
        <f t="shared" si="21"/>
        <v>42038</v>
      </c>
    </row>
    <row r="395" spans="31:34">
      <c r="AE395" s="11">
        <v>42031</v>
      </c>
      <c r="AF395" s="12">
        <f t="shared" si="19"/>
        <v>3</v>
      </c>
      <c r="AG395" s="11">
        <f t="shared" si="20"/>
        <v>42037</v>
      </c>
      <c r="AH395" s="11">
        <f t="shared" si="21"/>
        <v>42039</v>
      </c>
    </row>
    <row r="396" spans="31:34">
      <c r="AE396" s="11">
        <v>42032</v>
      </c>
      <c r="AF396" s="12">
        <f t="shared" si="19"/>
        <v>4</v>
      </c>
      <c r="AG396" s="11">
        <f t="shared" si="20"/>
        <v>42037</v>
      </c>
      <c r="AH396" s="11">
        <f t="shared" si="21"/>
        <v>42039</v>
      </c>
    </row>
    <row r="397" spans="31:34">
      <c r="AE397" s="11">
        <v>42033</v>
      </c>
      <c r="AF397" s="12">
        <f t="shared" si="19"/>
        <v>5</v>
      </c>
      <c r="AG397" s="11">
        <f t="shared" si="20"/>
        <v>42038</v>
      </c>
      <c r="AH397" s="11">
        <f t="shared" si="21"/>
        <v>42040</v>
      </c>
    </row>
    <row r="398" spans="31:34">
      <c r="AE398" s="11">
        <v>42034</v>
      </c>
      <c r="AF398" s="12">
        <f t="shared" si="19"/>
        <v>6</v>
      </c>
      <c r="AG398" s="11">
        <f t="shared" si="20"/>
        <v>42039</v>
      </c>
      <c r="AH398" s="11">
        <f t="shared" si="21"/>
        <v>42041</v>
      </c>
    </row>
    <row r="399" spans="31:34">
      <c r="AE399" s="11">
        <v>42035</v>
      </c>
      <c r="AF399" s="12">
        <f t="shared" si="19"/>
        <v>7</v>
      </c>
      <c r="AG399" s="11">
        <f t="shared" si="20"/>
        <v>42040</v>
      </c>
      <c r="AH399" s="11">
        <f t="shared" si="21"/>
        <v>42044</v>
      </c>
    </row>
    <row r="400" spans="31:34">
      <c r="AE400" s="11">
        <v>42036</v>
      </c>
      <c r="AF400" s="12">
        <f t="shared" si="19"/>
        <v>1</v>
      </c>
      <c r="AG400" s="11">
        <f t="shared" si="20"/>
        <v>42040</v>
      </c>
      <c r="AH400" s="11">
        <f t="shared" si="21"/>
        <v>42044</v>
      </c>
    </row>
    <row r="401" spans="31:34">
      <c r="AE401" s="11">
        <v>42037</v>
      </c>
      <c r="AF401" s="12">
        <f t="shared" si="19"/>
        <v>2</v>
      </c>
      <c r="AG401" s="11">
        <f t="shared" si="20"/>
        <v>42041</v>
      </c>
      <c r="AH401" s="11">
        <f t="shared" si="21"/>
        <v>42045</v>
      </c>
    </row>
    <row r="402" spans="31:34">
      <c r="AE402" s="11">
        <v>42038</v>
      </c>
      <c r="AF402" s="12">
        <f t="shared" si="19"/>
        <v>3</v>
      </c>
      <c r="AG402" s="11">
        <f t="shared" si="20"/>
        <v>42044</v>
      </c>
      <c r="AH402" s="11">
        <f t="shared" si="21"/>
        <v>42046</v>
      </c>
    </row>
    <row r="403" spans="31:34">
      <c r="AE403" s="11">
        <v>42039</v>
      </c>
      <c r="AF403" s="12">
        <f t="shared" si="19"/>
        <v>4</v>
      </c>
      <c r="AG403" s="11">
        <f t="shared" si="20"/>
        <v>42044</v>
      </c>
      <c r="AH403" s="11">
        <f t="shared" si="21"/>
        <v>42046</v>
      </c>
    </row>
    <row r="404" spans="31:34">
      <c r="AE404" s="11">
        <v>42040</v>
      </c>
      <c r="AF404" s="12">
        <f t="shared" si="19"/>
        <v>5</v>
      </c>
      <c r="AG404" s="11">
        <f t="shared" si="20"/>
        <v>42045</v>
      </c>
      <c r="AH404" s="11">
        <f t="shared" si="21"/>
        <v>42047</v>
      </c>
    </row>
    <row r="405" spans="31:34">
      <c r="AE405" s="11">
        <v>42041</v>
      </c>
      <c r="AF405" s="12">
        <f t="shared" si="19"/>
        <v>6</v>
      </c>
      <c r="AG405" s="11">
        <f t="shared" si="20"/>
        <v>42046</v>
      </c>
      <c r="AH405" s="11">
        <f t="shared" si="21"/>
        <v>42048</v>
      </c>
    </row>
    <row r="406" spans="31:34">
      <c r="AE406" s="11">
        <v>42042</v>
      </c>
      <c r="AF406" s="12">
        <f t="shared" si="19"/>
        <v>7</v>
      </c>
      <c r="AG406" s="11">
        <f t="shared" si="20"/>
        <v>42047</v>
      </c>
      <c r="AH406" s="11">
        <f t="shared" si="21"/>
        <v>42052</v>
      </c>
    </row>
    <row r="407" spans="31:34">
      <c r="AE407" s="11">
        <v>42043</v>
      </c>
      <c r="AF407" s="12">
        <f t="shared" si="19"/>
        <v>1</v>
      </c>
      <c r="AG407" s="11">
        <f t="shared" si="20"/>
        <v>42047</v>
      </c>
      <c r="AH407" s="11">
        <f t="shared" si="21"/>
        <v>42052</v>
      </c>
    </row>
    <row r="408" spans="31:34">
      <c r="AE408" s="11">
        <v>42044</v>
      </c>
      <c r="AF408" s="12">
        <f t="shared" si="19"/>
        <v>2</v>
      </c>
      <c r="AG408" s="11">
        <f t="shared" si="20"/>
        <v>42048</v>
      </c>
      <c r="AH408" s="11">
        <f t="shared" si="21"/>
        <v>42053</v>
      </c>
    </row>
    <row r="409" spans="31:34">
      <c r="AE409" s="11">
        <v>42045</v>
      </c>
      <c r="AF409" s="12">
        <f t="shared" si="19"/>
        <v>3</v>
      </c>
      <c r="AG409" s="11">
        <v>42052</v>
      </c>
      <c r="AH409" s="11">
        <f t="shared" si="21"/>
        <v>42054</v>
      </c>
    </row>
    <row r="410" spans="31:34">
      <c r="AE410" s="11">
        <v>42046</v>
      </c>
      <c r="AF410" s="12">
        <f t="shared" si="19"/>
        <v>4</v>
      </c>
      <c r="AG410" s="11">
        <v>42052</v>
      </c>
      <c r="AH410" s="11">
        <f t="shared" si="21"/>
        <v>42054</v>
      </c>
    </row>
    <row r="411" spans="31:34">
      <c r="AE411" s="11">
        <v>42047</v>
      </c>
      <c r="AF411" s="12">
        <f t="shared" si="19"/>
        <v>5</v>
      </c>
      <c r="AG411" s="11">
        <v>42053</v>
      </c>
      <c r="AH411" s="11">
        <f t="shared" si="21"/>
        <v>42055</v>
      </c>
    </row>
    <row r="412" spans="31:34">
      <c r="AE412" s="11">
        <v>42048</v>
      </c>
      <c r="AF412" s="12">
        <f t="shared" si="19"/>
        <v>6</v>
      </c>
      <c r="AG412" s="11">
        <v>42054</v>
      </c>
      <c r="AH412" s="11">
        <f t="shared" si="21"/>
        <v>42058</v>
      </c>
    </row>
    <row r="413" spans="31:34">
      <c r="AE413" s="11">
        <v>42049</v>
      </c>
      <c r="AF413" s="12">
        <f t="shared" si="19"/>
        <v>7</v>
      </c>
      <c r="AG413" s="11">
        <v>42055</v>
      </c>
      <c r="AH413" s="11">
        <f t="shared" si="21"/>
        <v>42059</v>
      </c>
    </row>
    <row r="414" spans="31:34">
      <c r="AE414" s="11">
        <v>42050</v>
      </c>
      <c r="AF414" s="12">
        <f t="shared" si="19"/>
        <v>1</v>
      </c>
      <c r="AG414" s="11">
        <v>42055</v>
      </c>
      <c r="AH414" s="11">
        <f t="shared" si="21"/>
        <v>42059</v>
      </c>
    </row>
    <row r="415" spans="31:34">
      <c r="AE415" s="11">
        <v>42051</v>
      </c>
      <c r="AF415" s="12">
        <f t="shared" si="19"/>
        <v>2</v>
      </c>
      <c r="AG415" s="11">
        <f t="shared" si="20"/>
        <v>42055</v>
      </c>
      <c r="AH415" s="11">
        <f t="shared" si="21"/>
        <v>42059</v>
      </c>
    </row>
    <row r="416" spans="31:34">
      <c r="AE416" s="11">
        <v>42052</v>
      </c>
      <c r="AF416" s="12">
        <f t="shared" si="19"/>
        <v>3</v>
      </c>
      <c r="AG416" s="11">
        <f t="shared" si="20"/>
        <v>42058</v>
      </c>
      <c r="AH416" s="11">
        <f t="shared" si="21"/>
        <v>42060</v>
      </c>
    </row>
    <row r="417" spans="31:34">
      <c r="AE417" s="11">
        <v>42053</v>
      </c>
      <c r="AF417" s="12">
        <f t="shared" si="19"/>
        <v>4</v>
      </c>
      <c r="AG417" s="11">
        <f t="shared" si="20"/>
        <v>42058</v>
      </c>
      <c r="AH417" s="11">
        <f t="shared" si="21"/>
        <v>42060</v>
      </c>
    </row>
    <row r="418" spans="31:34">
      <c r="AE418" s="11">
        <v>42054</v>
      </c>
      <c r="AF418" s="12">
        <f t="shared" si="19"/>
        <v>5</v>
      </c>
      <c r="AG418" s="11">
        <f t="shared" si="20"/>
        <v>42059</v>
      </c>
      <c r="AH418" s="11">
        <f t="shared" si="21"/>
        <v>42061</v>
      </c>
    </row>
    <row r="419" spans="31:34">
      <c r="AE419" s="11">
        <v>42055</v>
      </c>
      <c r="AF419" s="12">
        <f t="shared" si="19"/>
        <v>6</v>
      </c>
      <c r="AG419" s="11">
        <f t="shared" si="20"/>
        <v>42060</v>
      </c>
      <c r="AH419" s="11">
        <f t="shared" si="21"/>
        <v>42062</v>
      </c>
    </row>
    <row r="420" spans="31:34">
      <c r="AE420" s="11">
        <v>42056</v>
      </c>
      <c r="AF420" s="12">
        <f t="shared" si="19"/>
        <v>7</v>
      </c>
      <c r="AG420" s="11">
        <f t="shared" si="20"/>
        <v>42061</v>
      </c>
      <c r="AH420" s="11">
        <f t="shared" si="21"/>
        <v>42065</v>
      </c>
    </row>
    <row r="421" spans="31:34">
      <c r="AE421" s="11">
        <v>42057</v>
      </c>
      <c r="AF421" s="12">
        <f t="shared" si="19"/>
        <v>1</v>
      </c>
      <c r="AG421" s="11">
        <f t="shared" si="20"/>
        <v>42061</v>
      </c>
      <c r="AH421" s="11">
        <f t="shared" si="21"/>
        <v>42065</v>
      </c>
    </row>
    <row r="422" spans="31:34">
      <c r="AE422" s="11">
        <v>42058</v>
      </c>
      <c r="AF422" s="12">
        <f t="shared" si="19"/>
        <v>2</v>
      </c>
      <c r="AG422" s="11">
        <f t="shared" si="20"/>
        <v>42062</v>
      </c>
      <c r="AH422" s="11">
        <f t="shared" si="21"/>
        <v>42066</v>
      </c>
    </row>
    <row r="423" spans="31:34">
      <c r="AE423" s="11">
        <v>42059</v>
      </c>
      <c r="AF423" s="12">
        <f t="shared" si="19"/>
        <v>3</v>
      </c>
      <c r="AG423" s="11">
        <f t="shared" si="20"/>
        <v>42065</v>
      </c>
      <c r="AH423" s="11">
        <f t="shared" si="21"/>
        <v>42067</v>
      </c>
    </row>
    <row r="424" spans="31:34">
      <c r="AE424" s="11">
        <v>42060</v>
      </c>
      <c r="AF424" s="12">
        <f t="shared" si="19"/>
        <v>4</v>
      </c>
      <c r="AG424" s="11">
        <f t="shared" si="20"/>
        <v>42065</v>
      </c>
      <c r="AH424" s="11">
        <f t="shared" si="21"/>
        <v>42067</v>
      </c>
    </row>
    <row r="425" spans="31:34">
      <c r="AE425" s="11">
        <v>42061</v>
      </c>
      <c r="AF425" s="12">
        <f t="shared" si="19"/>
        <v>5</v>
      </c>
      <c r="AG425" s="11">
        <f t="shared" si="20"/>
        <v>42066</v>
      </c>
      <c r="AH425" s="11">
        <f t="shared" si="21"/>
        <v>42068</v>
      </c>
    </row>
    <row r="426" spans="31:34">
      <c r="AE426" s="11">
        <v>42062</v>
      </c>
      <c r="AF426" s="12">
        <f t="shared" si="19"/>
        <v>6</v>
      </c>
      <c r="AG426" s="11">
        <f t="shared" si="20"/>
        <v>42067</v>
      </c>
      <c r="AH426" s="11">
        <f t="shared" si="21"/>
        <v>42069</v>
      </c>
    </row>
    <row r="427" spans="31:34">
      <c r="AE427" s="11">
        <v>42063</v>
      </c>
      <c r="AF427" s="12">
        <f t="shared" si="19"/>
        <v>7</v>
      </c>
      <c r="AG427" s="11">
        <f t="shared" si="20"/>
        <v>42068</v>
      </c>
      <c r="AH427" s="11">
        <f t="shared" si="21"/>
        <v>42072</v>
      </c>
    </row>
    <row r="428" spans="31:34">
      <c r="AE428" s="11">
        <v>42064</v>
      </c>
      <c r="AF428" s="12">
        <f t="shared" si="19"/>
        <v>1</v>
      </c>
      <c r="AG428" s="11">
        <f t="shared" si="20"/>
        <v>42068</v>
      </c>
      <c r="AH428" s="11">
        <f t="shared" si="21"/>
        <v>42072</v>
      </c>
    </row>
    <row r="429" spans="31:34">
      <c r="AE429" s="11">
        <v>42065</v>
      </c>
      <c r="AF429" s="12">
        <f t="shared" si="19"/>
        <v>2</v>
      </c>
      <c r="AG429" s="11">
        <f t="shared" si="20"/>
        <v>42069</v>
      </c>
      <c r="AH429" s="11">
        <f t="shared" si="21"/>
        <v>42073</v>
      </c>
    </row>
    <row r="430" spans="31:34">
      <c r="AE430" s="11">
        <v>42066</v>
      </c>
      <c r="AF430" s="12">
        <f t="shared" si="19"/>
        <v>3</v>
      </c>
      <c r="AG430" s="11">
        <f t="shared" si="20"/>
        <v>42072</v>
      </c>
      <c r="AH430" s="11">
        <f t="shared" si="21"/>
        <v>42074</v>
      </c>
    </row>
    <row r="431" spans="31:34">
      <c r="AE431" s="11">
        <v>42067</v>
      </c>
      <c r="AF431" s="12">
        <f t="shared" si="19"/>
        <v>4</v>
      </c>
      <c r="AG431" s="11">
        <f t="shared" si="20"/>
        <v>42072</v>
      </c>
      <c r="AH431" s="11">
        <f t="shared" si="21"/>
        <v>42074</v>
      </c>
    </row>
    <row r="432" spans="31:34">
      <c r="AE432" s="11">
        <v>42068</v>
      </c>
      <c r="AF432" s="12">
        <f t="shared" si="19"/>
        <v>5</v>
      </c>
      <c r="AG432" s="11">
        <f t="shared" si="20"/>
        <v>42073</v>
      </c>
      <c r="AH432" s="11">
        <f t="shared" si="21"/>
        <v>42075</v>
      </c>
    </row>
    <row r="433" spans="31:34">
      <c r="AE433" s="11">
        <v>42069</v>
      </c>
      <c r="AF433" s="12">
        <f t="shared" si="19"/>
        <v>6</v>
      </c>
      <c r="AG433" s="11">
        <f t="shared" si="20"/>
        <v>42074</v>
      </c>
      <c r="AH433" s="11">
        <f t="shared" si="21"/>
        <v>42076</v>
      </c>
    </row>
    <row r="434" spans="31:34">
      <c r="AE434" s="11">
        <v>42070</v>
      </c>
      <c r="AF434" s="12">
        <f t="shared" si="19"/>
        <v>7</v>
      </c>
      <c r="AG434" s="11">
        <f t="shared" si="20"/>
        <v>42075</v>
      </c>
      <c r="AH434" s="11">
        <f t="shared" si="21"/>
        <v>42079</v>
      </c>
    </row>
    <row r="435" spans="31:34">
      <c r="AE435" s="11">
        <v>42071</v>
      </c>
      <c r="AF435" s="12">
        <f t="shared" si="19"/>
        <v>1</v>
      </c>
      <c r="AG435" s="11">
        <f t="shared" si="20"/>
        <v>42075</v>
      </c>
      <c r="AH435" s="11">
        <f t="shared" si="21"/>
        <v>42079</v>
      </c>
    </row>
    <row r="436" spans="31:34">
      <c r="AE436" s="11">
        <v>42072</v>
      </c>
      <c r="AF436" s="12">
        <f t="shared" si="19"/>
        <v>2</v>
      </c>
      <c r="AG436" s="11">
        <f t="shared" si="20"/>
        <v>42076</v>
      </c>
      <c r="AH436" s="11">
        <f t="shared" si="21"/>
        <v>42080</v>
      </c>
    </row>
    <row r="437" spans="31:34">
      <c r="AE437" s="11">
        <v>42073</v>
      </c>
      <c r="AF437" s="12">
        <f t="shared" si="19"/>
        <v>3</v>
      </c>
      <c r="AG437" s="11">
        <f t="shared" si="20"/>
        <v>42079</v>
      </c>
      <c r="AH437" s="11">
        <f t="shared" si="21"/>
        <v>42081</v>
      </c>
    </row>
    <row r="438" spans="31:34">
      <c r="AE438" s="11">
        <v>42074</v>
      </c>
      <c r="AF438" s="12">
        <f t="shared" si="19"/>
        <v>4</v>
      </c>
      <c r="AG438" s="11">
        <f t="shared" si="20"/>
        <v>42079</v>
      </c>
      <c r="AH438" s="11">
        <f t="shared" si="21"/>
        <v>42081</v>
      </c>
    </row>
    <row r="439" spans="31:34">
      <c r="AE439" s="11">
        <v>42075</v>
      </c>
      <c r="AF439" s="12">
        <f t="shared" si="19"/>
        <v>5</v>
      </c>
      <c r="AG439" s="11">
        <f t="shared" si="20"/>
        <v>42080</v>
      </c>
      <c r="AH439" s="11">
        <f t="shared" si="21"/>
        <v>42082</v>
      </c>
    </row>
    <row r="440" spans="31:34">
      <c r="AE440" s="11">
        <v>42076</v>
      </c>
      <c r="AF440" s="12">
        <f t="shared" si="19"/>
        <v>6</v>
      </c>
      <c r="AG440" s="11">
        <f t="shared" si="20"/>
        <v>42081</v>
      </c>
      <c r="AH440" s="11">
        <f t="shared" si="21"/>
        <v>42083</v>
      </c>
    </row>
    <row r="441" spans="31:34">
      <c r="AE441" s="11">
        <v>42077</v>
      </c>
      <c r="AF441" s="12">
        <f t="shared" si="19"/>
        <v>7</v>
      </c>
      <c r="AG441" s="11">
        <f t="shared" si="20"/>
        <v>42082</v>
      </c>
      <c r="AH441" s="11">
        <f t="shared" si="21"/>
        <v>42086</v>
      </c>
    </row>
    <row r="442" spans="31:34">
      <c r="AE442" s="11">
        <v>42078</v>
      </c>
      <c r="AF442" s="12">
        <f t="shared" si="19"/>
        <v>1</v>
      </c>
      <c r="AG442" s="11">
        <f t="shared" si="20"/>
        <v>42082</v>
      </c>
      <c r="AH442" s="11">
        <f t="shared" si="21"/>
        <v>42086</v>
      </c>
    </row>
    <row r="443" spans="31:34">
      <c r="AE443" s="11">
        <v>42079</v>
      </c>
      <c r="AF443" s="12">
        <f t="shared" si="19"/>
        <v>2</v>
      </c>
      <c r="AG443" s="11">
        <f t="shared" si="20"/>
        <v>42083</v>
      </c>
      <c r="AH443" s="11">
        <f t="shared" si="21"/>
        <v>42087</v>
      </c>
    </row>
    <row r="444" spans="31:34">
      <c r="AE444" s="11">
        <v>42080</v>
      </c>
      <c r="AF444" s="12">
        <f t="shared" si="19"/>
        <v>3</v>
      </c>
      <c r="AG444" s="11">
        <f t="shared" si="20"/>
        <v>42086</v>
      </c>
      <c r="AH444" s="11">
        <f t="shared" si="21"/>
        <v>42088</v>
      </c>
    </row>
    <row r="445" spans="31:34">
      <c r="AE445" s="11">
        <v>42081</v>
      </c>
      <c r="AF445" s="12">
        <f t="shared" si="19"/>
        <v>4</v>
      </c>
      <c r="AG445" s="11">
        <f t="shared" si="20"/>
        <v>42086</v>
      </c>
      <c r="AH445" s="11">
        <f t="shared" si="21"/>
        <v>42088</v>
      </c>
    </row>
    <row r="446" spans="31:34">
      <c r="AE446" s="11">
        <v>42082</v>
      </c>
      <c r="AF446" s="12">
        <f t="shared" si="19"/>
        <v>5</v>
      </c>
      <c r="AG446" s="11">
        <f t="shared" si="20"/>
        <v>42087</v>
      </c>
      <c r="AH446" s="11">
        <f t="shared" si="21"/>
        <v>42089</v>
      </c>
    </row>
    <row r="447" spans="31:34">
      <c r="AE447" s="11">
        <v>42083</v>
      </c>
      <c r="AF447" s="12">
        <f t="shared" si="19"/>
        <v>6</v>
      </c>
      <c r="AG447" s="11">
        <f t="shared" si="20"/>
        <v>42088</v>
      </c>
      <c r="AH447" s="11">
        <f t="shared" si="21"/>
        <v>42090</v>
      </c>
    </row>
    <row r="448" spans="31:34">
      <c r="AE448" s="11">
        <v>42084</v>
      </c>
      <c r="AF448" s="12">
        <f t="shared" si="19"/>
        <v>7</v>
      </c>
      <c r="AG448" s="11">
        <f t="shared" si="20"/>
        <v>42089</v>
      </c>
      <c r="AH448" s="11">
        <f t="shared" si="21"/>
        <v>42093</v>
      </c>
    </row>
    <row r="449" spans="31:34">
      <c r="AE449" s="11">
        <v>42085</v>
      </c>
      <c r="AF449" s="12">
        <f t="shared" si="19"/>
        <v>1</v>
      </c>
      <c r="AG449" s="11">
        <f t="shared" si="20"/>
        <v>42089</v>
      </c>
      <c r="AH449" s="11">
        <f t="shared" si="21"/>
        <v>42093</v>
      </c>
    </row>
    <row r="450" spans="31:34">
      <c r="AE450" s="11">
        <v>42086</v>
      </c>
      <c r="AF450" s="12">
        <f t="shared" si="19"/>
        <v>2</v>
      </c>
      <c r="AG450" s="11">
        <f t="shared" si="20"/>
        <v>42090</v>
      </c>
      <c r="AH450" s="11">
        <f t="shared" si="21"/>
        <v>42094</v>
      </c>
    </row>
    <row r="451" spans="31:34">
      <c r="AE451" s="11">
        <v>42087</v>
      </c>
      <c r="AF451" s="12">
        <f t="shared" si="19"/>
        <v>3</v>
      </c>
      <c r="AG451" s="11">
        <f t="shared" si="20"/>
        <v>42093</v>
      </c>
      <c r="AH451" s="11">
        <f t="shared" si="21"/>
        <v>42095</v>
      </c>
    </row>
    <row r="452" spans="31:34">
      <c r="AE452" s="11">
        <v>42088</v>
      </c>
      <c r="AF452" s="12">
        <f t="shared" si="19"/>
        <v>4</v>
      </c>
      <c r="AG452" s="11">
        <f t="shared" si="20"/>
        <v>42093</v>
      </c>
      <c r="AH452" s="11">
        <f t="shared" si="21"/>
        <v>42095</v>
      </c>
    </row>
    <row r="453" spans="31:34">
      <c r="AE453" s="11">
        <v>42089</v>
      </c>
      <c r="AF453" s="12">
        <f t="shared" ref="AF453:AF516" si="22">WEEKDAY(AE453)</f>
        <v>5</v>
      </c>
      <c r="AG453" s="11">
        <f t="shared" ref="AG453:AG516" si="23">AE453+(VLOOKUP(AF453, $AJ$4:$AK$10, 2, FALSE))</f>
        <v>42094</v>
      </c>
      <c r="AH453" s="11">
        <f t="shared" ref="AH453:AH516" si="24">IFERROR((WORKDAY(AG453, 2, AC$4:AC$53)), "")</f>
        <v>42096</v>
      </c>
    </row>
    <row r="454" spans="31:34">
      <c r="AE454" s="11">
        <v>42090</v>
      </c>
      <c r="AF454" s="12">
        <f t="shared" si="22"/>
        <v>6</v>
      </c>
      <c r="AG454" s="11">
        <f t="shared" si="23"/>
        <v>42095</v>
      </c>
      <c r="AH454" s="11">
        <f t="shared" si="24"/>
        <v>42097</v>
      </c>
    </row>
    <row r="455" spans="31:34">
      <c r="AE455" s="11">
        <v>42091</v>
      </c>
      <c r="AF455" s="12">
        <f t="shared" si="22"/>
        <v>7</v>
      </c>
      <c r="AG455" s="11">
        <f t="shared" si="23"/>
        <v>42096</v>
      </c>
      <c r="AH455" s="11">
        <f t="shared" si="24"/>
        <v>42100</v>
      </c>
    </row>
    <row r="456" spans="31:34">
      <c r="AE456" s="11">
        <v>42092</v>
      </c>
      <c r="AF456" s="12">
        <f t="shared" si="22"/>
        <v>1</v>
      </c>
      <c r="AG456" s="11">
        <f t="shared" si="23"/>
        <v>42096</v>
      </c>
      <c r="AH456" s="11">
        <f t="shared" si="24"/>
        <v>42100</v>
      </c>
    </row>
    <row r="457" spans="31:34">
      <c r="AE457" s="11">
        <v>42093</v>
      </c>
      <c r="AF457" s="12">
        <f t="shared" si="22"/>
        <v>2</v>
      </c>
      <c r="AG457" s="11">
        <f t="shared" si="23"/>
        <v>42097</v>
      </c>
      <c r="AH457" s="11">
        <f t="shared" si="24"/>
        <v>42101</v>
      </c>
    </row>
    <row r="458" spans="31:34">
      <c r="AE458" s="11">
        <v>42094</v>
      </c>
      <c r="AF458" s="12">
        <f t="shared" si="22"/>
        <v>3</v>
      </c>
      <c r="AG458" s="11">
        <f t="shared" si="23"/>
        <v>42100</v>
      </c>
      <c r="AH458" s="11">
        <f t="shared" si="24"/>
        <v>42102</v>
      </c>
    </row>
    <row r="459" spans="31:34">
      <c r="AE459" s="11">
        <v>42095</v>
      </c>
      <c r="AF459" s="12">
        <f t="shared" si="22"/>
        <v>4</v>
      </c>
      <c r="AG459" s="11">
        <f t="shared" si="23"/>
        <v>42100</v>
      </c>
      <c r="AH459" s="11">
        <f t="shared" si="24"/>
        <v>42102</v>
      </c>
    </row>
    <row r="460" spans="31:34">
      <c r="AE460" s="11">
        <v>42096</v>
      </c>
      <c r="AF460" s="12">
        <f t="shared" si="22"/>
        <v>5</v>
      </c>
      <c r="AG460" s="11">
        <f t="shared" si="23"/>
        <v>42101</v>
      </c>
      <c r="AH460" s="11">
        <f t="shared" si="24"/>
        <v>42103</v>
      </c>
    </row>
    <row r="461" spans="31:34">
      <c r="AE461" s="11">
        <v>42097</v>
      </c>
      <c r="AF461" s="12">
        <f t="shared" si="22"/>
        <v>6</v>
      </c>
      <c r="AG461" s="11">
        <f t="shared" si="23"/>
        <v>42102</v>
      </c>
      <c r="AH461" s="11">
        <f t="shared" si="24"/>
        <v>42104</v>
      </c>
    </row>
    <row r="462" spans="31:34">
      <c r="AE462" s="11">
        <v>42098</v>
      </c>
      <c r="AF462" s="12">
        <f t="shared" si="22"/>
        <v>7</v>
      </c>
      <c r="AG462" s="11">
        <f t="shared" si="23"/>
        <v>42103</v>
      </c>
      <c r="AH462" s="11">
        <f t="shared" si="24"/>
        <v>42107</v>
      </c>
    </row>
    <row r="463" spans="31:34">
      <c r="AE463" s="11">
        <v>42099</v>
      </c>
      <c r="AF463" s="12">
        <f t="shared" si="22"/>
        <v>1</v>
      </c>
      <c r="AG463" s="11">
        <f t="shared" si="23"/>
        <v>42103</v>
      </c>
      <c r="AH463" s="11">
        <f t="shared" si="24"/>
        <v>42107</v>
      </c>
    </row>
    <row r="464" spans="31:34">
      <c r="AE464" s="11">
        <v>42100</v>
      </c>
      <c r="AF464" s="12">
        <f t="shared" si="22"/>
        <v>2</v>
      </c>
      <c r="AG464" s="11">
        <f t="shared" si="23"/>
        <v>42104</v>
      </c>
      <c r="AH464" s="11">
        <f t="shared" si="24"/>
        <v>42108</v>
      </c>
    </row>
    <row r="465" spans="31:34">
      <c r="AE465" s="11">
        <v>42101</v>
      </c>
      <c r="AF465" s="12">
        <f t="shared" si="22"/>
        <v>3</v>
      </c>
      <c r="AG465" s="11">
        <f t="shared" si="23"/>
        <v>42107</v>
      </c>
      <c r="AH465" s="11">
        <f t="shared" si="24"/>
        <v>42109</v>
      </c>
    </row>
    <row r="466" spans="31:34">
      <c r="AE466" s="11">
        <v>42102</v>
      </c>
      <c r="AF466" s="12">
        <f t="shared" si="22"/>
        <v>4</v>
      </c>
      <c r="AG466" s="11">
        <f t="shared" si="23"/>
        <v>42107</v>
      </c>
      <c r="AH466" s="11">
        <f t="shared" si="24"/>
        <v>42109</v>
      </c>
    </row>
    <row r="467" spans="31:34">
      <c r="AE467" s="11">
        <v>42103</v>
      </c>
      <c r="AF467" s="12">
        <f t="shared" si="22"/>
        <v>5</v>
      </c>
      <c r="AG467" s="11">
        <f t="shared" si="23"/>
        <v>42108</v>
      </c>
      <c r="AH467" s="11">
        <f t="shared" si="24"/>
        <v>42110</v>
      </c>
    </row>
    <row r="468" spans="31:34">
      <c r="AE468" s="11">
        <v>42104</v>
      </c>
      <c r="AF468" s="12">
        <f t="shared" si="22"/>
        <v>6</v>
      </c>
      <c r="AG468" s="11">
        <f t="shared" si="23"/>
        <v>42109</v>
      </c>
      <c r="AH468" s="11">
        <f t="shared" si="24"/>
        <v>42111</v>
      </c>
    </row>
    <row r="469" spans="31:34">
      <c r="AE469" s="11">
        <v>42105</v>
      </c>
      <c r="AF469" s="12">
        <f t="shared" si="22"/>
        <v>7</v>
      </c>
      <c r="AG469" s="11">
        <f t="shared" si="23"/>
        <v>42110</v>
      </c>
      <c r="AH469" s="11">
        <f t="shared" si="24"/>
        <v>42114</v>
      </c>
    </row>
    <row r="470" spans="31:34">
      <c r="AE470" s="11">
        <v>42106</v>
      </c>
      <c r="AF470" s="12">
        <f t="shared" si="22"/>
        <v>1</v>
      </c>
      <c r="AG470" s="11">
        <f t="shared" si="23"/>
        <v>42110</v>
      </c>
      <c r="AH470" s="11">
        <f t="shared" si="24"/>
        <v>42114</v>
      </c>
    </row>
    <row r="471" spans="31:34">
      <c r="AE471" s="11">
        <v>42107</v>
      </c>
      <c r="AF471" s="12">
        <f t="shared" si="22"/>
        <v>2</v>
      </c>
      <c r="AG471" s="11">
        <f t="shared" si="23"/>
        <v>42111</v>
      </c>
      <c r="AH471" s="11">
        <f t="shared" si="24"/>
        <v>42115</v>
      </c>
    </row>
    <row r="472" spans="31:34">
      <c r="AE472" s="11">
        <v>42108</v>
      </c>
      <c r="AF472" s="12">
        <f t="shared" si="22"/>
        <v>3</v>
      </c>
      <c r="AG472" s="11">
        <f t="shared" si="23"/>
        <v>42114</v>
      </c>
      <c r="AH472" s="11">
        <f t="shared" si="24"/>
        <v>42116</v>
      </c>
    </row>
    <row r="473" spans="31:34">
      <c r="AE473" s="11">
        <v>42109</v>
      </c>
      <c r="AF473" s="12">
        <f t="shared" si="22"/>
        <v>4</v>
      </c>
      <c r="AG473" s="11">
        <f t="shared" si="23"/>
        <v>42114</v>
      </c>
      <c r="AH473" s="11">
        <f t="shared" si="24"/>
        <v>42116</v>
      </c>
    </row>
    <row r="474" spans="31:34">
      <c r="AE474" s="11">
        <v>42110</v>
      </c>
      <c r="AF474" s="12">
        <f t="shared" si="22"/>
        <v>5</v>
      </c>
      <c r="AG474" s="11">
        <f t="shared" si="23"/>
        <v>42115</v>
      </c>
      <c r="AH474" s="11">
        <f t="shared" si="24"/>
        <v>42117</v>
      </c>
    </row>
    <row r="475" spans="31:34">
      <c r="AE475" s="11">
        <v>42111</v>
      </c>
      <c r="AF475" s="12">
        <f t="shared" si="22"/>
        <v>6</v>
      </c>
      <c r="AG475" s="11">
        <f t="shared" si="23"/>
        <v>42116</v>
      </c>
      <c r="AH475" s="11">
        <f t="shared" si="24"/>
        <v>42118</v>
      </c>
    </row>
    <row r="476" spans="31:34">
      <c r="AE476" s="11">
        <v>42112</v>
      </c>
      <c r="AF476" s="12">
        <f t="shared" si="22"/>
        <v>7</v>
      </c>
      <c r="AG476" s="11">
        <f t="shared" si="23"/>
        <v>42117</v>
      </c>
      <c r="AH476" s="11">
        <f t="shared" si="24"/>
        <v>42121</v>
      </c>
    </row>
    <row r="477" spans="31:34">
      <c r="AE477" s="11">
        <v>42113</v>
      </c>
      <c r="AF477" s="12">
        <f t="shared" si="22"/>
        <v>1</v>
      </c>
      <c r="AG477" s="11">
        <f t="shared" si="23"/>
        <v>42117</v>
      </c>
      <c r="AH477" s="11">
        <f t="shared" si="24"/>
        <v>42121</v>
      </c>
    </row>
    <row r="478" spans="31:34">
      <c r="AE478" s="11">
        <v>42114</v>
      </c>
      <c r="AF478" s="12">
        <f t="shared" si="22"/>
        <v>2</v>
      </c>
      <c r="AG478" s="11">
        <f t="shared" si="23"/>
        <v>42118</v>
      </c>
      <c r="AH478" s="11">
        <f t="shared" si="24"/>
        <v>42122</v>
      </c>
    </row>
    <row r="479" spans="31:34">
      <c r="AE479" s="11">
        <v>42115</v>
      </c>
      <c r="AF479" s="12">
        <f t="shared" si="22"/>
        <v>3</v>
      </c>
      <c r="AG479" s="11">
        <f t="shared" si="23"/>
        <v>42121</v>
      </c>
      <c r="AH479" s="11">
        <f t="shared" si="24"/>
        <v>42123</v>
      </c>
    </row>
    <row r="480" spans="31:34">
      <c r="AE480" s="11">
        <v>42116</v>
      </c>
      <c r="AF480" s="12">
        <f t="shared" si="22"/>
        <v>4</v>
      </c>
      <c r="AG480" s="11">
        <f t="shared" si="23"/>
        <v>42121</v>
      </c>
      <c r="AH480" s="11">
        <f t="shared" si="24"/>
        <v>42123</v>
      </c>
    </row>
    <row r="481" spans="31:34">
      <c r="AE481" s="11">
        <v>42117</v>
      </c>
      <c r="AF481" s="12">
        <f t="shared" si="22"/>
        <v>5</v>
      </c>
      <c r="AG481" s="11">
        <f t="shared" si="23"/>
        <v>42122</v>
      </c>
      <c r="AH481" s="11">
        <f t="shared" si="24"/>
        <v>42124</v>
      </c>
    </row>
    <row r="482" spans="31:34">
      <c r="AE482" s="11">
        <v>42118</v>
      </c>
      <c r="AF482" s="12">
        <f t="shared" si="22"/>
        <v>6</v>
      </c>
      <c r="AG482" s="11">
        <f t="shared" si="23"/>
        <v>42123</v>
      </c>
      <c r="AH482" s="11">
        <f t="shared" si="24"/>
        <v>42125</v>
      </c>
    </row>
    <row r="483" spans="31:34">
      <c r="AE483" s="11">
        <v>42119</v>
      </c>
      <c r="AF483" s="12">
        <f t="shared" si="22"/>
        <v>7</v>
      </c>
      <c r="AG483" s="11">
        <f t="shared" si="23"/>
        <v>42124</v>
      </c>
      <c r="AH483" s="11">
        <f t="shared" si="24"/>
        <v>42128</v>
      </c>
    </row>
    <row r="484" spans="31:34">
      <c r="AE484" s="11">
        <v>42120</v>
      </c>
      <c r="AF484" s="12">
        <f t="shared" si="22"/>
        <v>1</v>
      </c>
      <c r="AG484" s="11">
        <f t="shared" si="23"/>
        <v>42124</v>
      </c>
      <c r="AH484" s="11">
        <f t="shared" si="24"/>
        <v>42128</v>
      </c>
    </row>
    <row r="485" spans="31:34">
      <c r="AE485" s="11">
        <v>42121</v>
      </c>
      <c r="AF485" s="12">
        <f t="shared" si="22"/>
        <v>2</v>
      </c>
      <c r="AG485" s="11">
        <f t="shared" si="23"/>
        <v>42125</v>
      </c>
      <c r="AH485" s="11">
        <f t="shared" si="24"/>
        <v>42129</v>
      </c>
    </row>
    <row r="486" spans="31:34">
      <c r="AE486" s="11">
        <v>42122</v>
      </c>
      <c r="AF486" s="12">
        <f t="shared" si="22"/>
        <v>3</v>
      </c>
      <c r="AG486" s="11">
        <f t="shared" si="23"/>
        <v>42128</v>
      </c>
      <c r="AH486" s="11">
        <f t="shared" si="24"/>
        <v>42130</v>
      </c>
    </row>
    <row r="487" spans="31:34">
      <c r="AE487" s="11">
        <v>42123</v>
      </c>
      <c r="AF487" s="12">
        <f t="shared" si="22"/>
        <v>4</v>
      </c>
      <c r="AG487" s="11">
        <f t="shared" si="23"/>
        <v>42128</v>
      </c>
      <c r="AH487" s="11">
        <f t="shared" si="24"/>
        <v>42130</v>
      </c>
    </row>
    <row r="488" spans="31:34">
      <c r="AE488" s="11">
        <v>42124</v>
      </c>
      <c r="AF488" s="12">
        <f t="shared" si="22"/>
        <v>5</v>
      </c>
      <c r="AG488" s="11">
        <f t="shared" si="23"/>
        <v>42129</v>
      </c>
      <c r="AH488" s="11">
        <f t="shared" si="24"/>
        <v>42131</v>
      </c>
    </row>
    <row r="489" spans="31:34">
      <c r="AE489" s="11">
        <v>42125</v>
      </c>
      <c r="AF489" s="12">
        <f t="shared" si="22"/>
        <v>6</v>
      </c>
      <c r="AG489" s="11">
        <f t="shared" si="23"/>
        <v>42130</v>
      </c>
      <c r="AH489" s="11">
        <f t="shared" si="24"/>
        <v>42132</v>
      </c>
    </row>
    <row r="490" spans="31:34">
      <c r="AE490" s="11">
        <v>42126</v>
      </c>
      <c r="AF490" s="12">
        <f t="shared" si="22"/>
        <v>7</v>
      </c>
      <c r="AG490" s="11">
        <f t="shared" si="23"/>
        <v>42131</v>
      </c>
      <c r="AH490" s="11">
        <f t="shared" si="24"/>
        <v>42135</v>
      </c>
    </row>
    <row r="491" spans="31:34">
      <c r="AE491" s="11">
        <v>42127</v>
      </c>
      <c r="AF491" s="12">
        <f t="shared" si="22"/>
        <v>1</v>
      </c>
      <c r="AG491" s="11">
        <f t="shared" si="23"/>
        <v>42131</v>
      </c>
      <c r="AH491" s="11">
        <f t="shared" si="24"/>
        <v>42135</v>
      </c>
    </row>
    <row r="492" spans="31:34">
      <c r="AE492" s="11">
        <v>42128</v>
      </c>
      <c r="AF492" s="12">
        <f t="shared" si="22"/>
        <v>2</v>
      </c>
      <c r="AG492" s="11">
        <f t="shared" si="23"/>
        <v>42132</v>
      </c>
      <c r="AH492" s="11">
        <f t="shared" si="24"/>
        <v>42136</v>
      </c>
    </row>
    <row r="493" spans="31:34">
      <c r="AE493" s="11">
        <v>42129</v>
      </c>
      <c r="AF493" s="12">
        <f t="shared" si="22"/>
        <v>3</v>
      </c>
      <c r="AG493" s="11">
        <f t="shared" si="23"/>
        <v>42135</v>
      </c>
      <c r="AH493" s="11">
        <f t="shared" si="24"/>
        <v>42137</v>
      </c>
    </row>
    <row r="494" spans="31:34">
      <c r="AE494" s="11">
        <v>42130</v>
      </c>
      <c r="AF494" s="12">
        <f t="shared" si="22"/>
        <v>4</v>
      </c>
      <c r="AG494" s="11">
        <f t="shared" si="23"/>
        <v>42135</v>
      </c>
      <c r="AH494" s="11">
        <f t="shared" si="24"/>
        <v>42137</v>
      </c>
    </row>
    <row r="495" spans="31:34">
      <c r="AE495" s="11">
        <v>42131</v>
      </c>
      <c r="AF495" s="12">
        <f t="shared" si="22"/>
        <v>5</v>
      </c>
      <c r="AG495" s="11">
        <f t="shared" si="23"/>
        <v>42136</v>
      </c>
      <c r="AH495" s="11">
        <f t="shared" si="24"/>
        <v>42138</v>
      </c>
    </row>
    <row r="496" spans="31:34">
      <c r="AE496" s="11">
        <v>42132</v>
      </c>
      <c r="AF496" s="12">
        <f t="shared" si="22"/>
        <v>6</v>
      </c>
      <c r="AG496" s="11">
        <f t="shared" si="23"/>
        <v>42137</v>
      </c>
      <c r="AH496" s="11">
        <f t="shared" si="24"/>
        <v>42139</v>
      </c>
    </row>
    <row r="497" spans="31:34">
      <c r="AE497" s="11">
        <v>42133</v>
      </c>
      <c r="AF497" s="12">
        <f t="shared" si="22"/>
        <v>7</v>
      </c>
      <c r="AG497" s="11">
        <f t="shared" si="23"/>
        <v>42138</v>
      </c>
      <c r="AH497" s="11">
        <f t="shared" si="24"/>
        <v>42142</v>
      </c>
    </row>
    <row r="498" spans="31:34">
      <c r="AE498" s="11">
        <v>42134</v>
      </c>
      <c r="AF498" s="12">
        <f t="shared" si="22"/>
        <v>1</v>
      </c>
      <c r="AG498" s="11">
        <f t="shared" si="23"/>
        <v>42138</v>
      </c>
      <c r="AH498" s="11">
        <f t="shared" si="24"/>
        <v>42142</v>
      </c>
    </row>
    <row r="499" spans="31:34">
      <c r="AE499" s="11">
        <v>42135</v>
      </c>
      <c r="AF499" s="12">
        <f t="shared" si="22"/>
        <v>2</v>
      </c>
      <c r="AG499" s="11">
        <f t="shared" si="23"/>
        <v>42139</v>
      </c>
      <c r="AH499" s="11">
        <f t="shared" si="24"/>
        <v>42143</v>
      </c>
    </row>
    <row r="500" spans="31:34">
      <c r="AE500" s="11">
        <v>42136</v>
      </c>
      <c r="AF500" s="12">
        <f t="shared" si="22"/>
        <v>3</v>
      </c>
      <c r="AG500" s="11">
        <f t="shared" si="23"/>
        <v>42142</v>
      </c>
      <c r="AH500" s="11">
        <f t="shared" si="24"/>
        <v>42144</v>
      </c>
    </row>
    <row r="501" spans="31:34">
      <c r="AE501" s="11">
        <v>42137</v>
      </c>
      <c r="AF501" s="12">
        <f t="shared" si="22"/>
        <v>4</v>
      </c>
      <c r="AG501" s="11">
        <f t="shared" si="23"/>
        <v>42142</v>
      </c>
      <c r="AH501" s="11">
        <f t="shared" si="24"/>
        <v>42144</v>
      </c>
    </row>
    <row r="502" spans="31:34">
      <c r="AE502" s="11">
        <v>42138</v>
      </c>
      <c r="AF502" s="12">
        <f t="shared" si="22"/>
        <v>5</v>
      </c>
      <c r="AG502" s="11">
        <f t="shared" si="23"/>
        <v>42143</v>
      </c>
      <c r="AH502" s="11">
        <f t="shared" si="24"/>
        <v>42145</v>
      </c>
    </row>
    <row r="503" spans="31:34">
      <c r="AE503" s="11">
        <v>42139</v>
      </c>
      <c r="AF503" s="12">
        <f t="shared" si="22"/>
        <v>6</v>
      </c>
      <c r="AG503" s="11">
        <f t="shared" si="23"/>
        <v>42144</v>
      </c>
      <c r="AH503" s="11">
        <f t="shared" si="24"/>
        <v>42146</v>
      </c>
    </row>
    <row r="504" spans="31:34">
      <c r="AE504" s="11">
        <v>42140</v>
      </c>
      <c r="AF504" s="12">
        <f t="shared" si="22"/>
        <v>7</v>
      </c>
      <c r="AG504" s="11">
        <f t="shared" si="23"/>
        <v>42145</v>
      </c>
      <c r="AH504" s="11">
        <f t="shared" si="24"/>
        <v>42150</v>
      </c>
    </row>
    <row r="505" spans="31:34">
      <c r="AE505" s="11">
        <v>42141</v>
      </c>
      <c r="AF505" s="12">
        <f t="shared" si="22"/>
        <v>1</v>
      </c>
      <c r="AG505" s="11">
        <f t="shared" si="23"/>
        <v>42145</v>
      </c>
      <c r="AH505" s="11">
        <f t="shared" si="24"/>
        <v>42150</v>
      </c>
    </row>
    <row r="506" spans="31:34">
      <c r="AE506" s="11">
        <v>42142</v>
      </c>
      <c r="AF506" s="12">
        <f t="shared" si="22"/>
        <v>2</v>
      </c>
      <c r="AG506" s="11">
        <f t="shared" si="23"/>
        <v>42146</v>
      </c>
      <c r="AH506" s="11">
        <f t="shared" si="24"/>
        <v>42151</v>
      </c>
    </row>
    <row r="507" spans="31:34">
      <c r="AE507" s="11">
        <v>42143</v>
      </c>
      <c r="AF507" s="12">
        <f t="shared" si="22"/>
        <v>3</v>
      </c>
      <c r="AG507" s="11">
        <v>42150</v>
      </c>
      <c r="AH507" s="11">
        <f t="shared" si="24"/>
        <v>42152</v>
      </c>
    </row>
    <row r="508" spans="31:34">
      <c r="AE508" s="11">
        <v>42144</v>
      </c>
      <c r="AF508" s="12">
        <f t="shared" si="22"/>
        <v>4</v>
      </c>
      <c r="AG508" s="11">
        <v>42150</v>
      </c>
      <c r="AH508" s="11">
        <f t="shared" si="24"/>
        <v>42152</v>
      </c>
    </row>
    <row r="509" spans="31:34">
      <c r="AE509" s="11">
        <v>42145</v>
      </c>
      <c r="AF509" s="12">
        <f t="shared" si="22"/>
        <v>5</v>
      </c>
      <c r="AG509" s="11">
        <v>42151</v>
      </c>
      <c r="AH509" s="11">
        <f t="shared" si="24"/>
        <v>42153</v>
      </c>
    </row>
    <row r="510" spans="31:34">
      <c r="AE510" s="11">
        <v>42146</v>
      </c>
      <c r="AF510" s="12">
        <f t="shared" si="22"/>
        <v>6</v>
      </c>
      <c r="AG510" s="11">
        <v>42152</v>
      </c>
      <c r="AH510" s="11">
        <f t="shared" si="24"/>
        <v>42156</v>
      </c>
    </row>
    <row r="511" spans="31:34">
      <c r="AE511" s="11">
        <v>42147</v>
      </c>
      <c r="AF511" s="12">
        <f t="shared" si="22"/>
        <v>7</v>
      </c>
      <c r="AG511" s="11">
        <v>42153</v>
      </c>
      <c r="AH511" s="11">
        <f t="shared" si="24"/>
        <v>42157</v>
      </c>
    </row>
    <row r="512" spans="31:34">
      <c r="AE512" s="11">
        <v>42148</v>
      </c>
      <c r="AF512" s="12">
        <f t="shared" si="22"/>
        <v>1</v>
      </c>
      <c r="AG512" s="11">
        <v>42153</v>
      </c>
      <c r="AH512" s="11">
        <f t="shared" si="24"/>
        <v>42157</v>
      </c>
    </row>
    <row r="513" spans="31:34">
      <c r="AE513" s="11">
        <v>42149</v>
      </c>
      <c r="AF513" s="12">
        <f t="shared" si="22"/>
        <v>2</v>
      </c>
      <c r="AG513" s="11">
        <f t="shared" si="23"/>
        <v>42153</v>
      </c>
      <c r="AH513" s="11">
        <f t="shared" si="24"/>
        <v>42157</v>
      </c>
    </row>
    <row r="514" spans="31:34">
      <c r="AE514" s="11">
        <v>42150</v>
      </c>
      <c r="AF514" s="12">
        <f t="shared" si="22"/>
        <v>3</v>
      </c>
      <c r="AG514" s="11">
        <f t="shared" si="23"/>
        <v>42156</v>
      </c>
      <c r="AH514" s="11">
        <f t="shared" si="24"/>
        <v>42158</v>
      </c>
    </row>
    <row r="515" spans="31:34">
      <c r="AE515" s="11">
        <v>42151</v>
      </c>
      <c r="AF515" s="12">
        <f t="shared" si="22"/>
        <v>4</v>
      </c>
      <c r="AG515" s="11">
        <f t="shared" si="23"/>
        <v>42156</v>
      </c>
      <c r="AH515" s="11">
        <f t="shared" si="24"/>
        <v>42158</v>
      </c>
    </row>
    <row r="516" spans="31:34">
      <c r="AE516" s="11">
        <v>42152</v>
      </c>
      <c r="AF516" s="12">
        <f t="shared" si="22"/>
        <v>5</v>
      </c>
      <c r="AG516" s="11">
        <f t="shared" si="23"/>
        <v>42157</v>
      </c>
      <c r="AH516" s="11">
        <f t="shared" si="24"/>
        <v>42159</v>
      </c>
    </row>
    <row r="517" spans="31:34">
      <c r="AE517" s="11">
        <v>42153</v>
      </c>
      <c r="AF517" s="12">
        <f t="shared" ref="AF517:AF580" si="25">WEEKDAY(AE517)</f>
        <v>6</v>
      </c>
      <c r="AG517" s="11">
        <f t="shared" ref="AG517:AG580" si="26">AE517+(VLOOKUP(AF517, $AJ$4:$AK$10, 2, FALSE))</f>
        <v>42158</v>
      </c>
      <c r="AH517" s="11">
        <f t="shared" ref="AH517:AH580" si="27">IFERROR((WORKDAY(AG517, 2, AC$4:AC$53)), "")</f>
        <v>42160</v>
      </c>
    </row>
    <row r="518" spans="31:34">
      <c r="AE518" s="11">
        <v>42154</v>
      </c>
      <c r="AF518" s="12">
        <f t="shared" si="25"/>
        <v>7</v>
      </c>
      <c r="AG518" s="11">
        <f t="shared" si="26"/>
        <v>42159</v>
      </c>
      <c r="AH518" s="11">
        <f t="shared" si="27"/>
        <v>42163</v>
      </c>
    </row>
    <row r="519" spans="31:34">
      <c r="AE519" s="11">
        <v>42155</v>
      </c>
      <c r="AF519" s="12">
        <f t="shared" si="25"/>
        <v>1</v>
      </c>
      <c r="AG519" s="11">
        <f t="shared" si="26"/>
        <v>42159</v>
      </c>
      <c r="AH519" s="11">
        <f t="shared" si="27"/>
        <v>42163</v>
      </c>
    </row>
    <row r="520" spans="31:34">
      <c r="AE520" s="11">
        <v>42156</v>
      </c>
      <c r="AF520" s="12">
        <f t="shared" si="25"/>
        <v>2</v>
      </c>
      <c r="AG520" s="11">
        <f t="shared" si="26"/>
        <v>42160</v>
      </c>
      <c r="AH520" s="11">
        <f t="shared" si="27"/>
        <v>42164</v>
      </c>
    </row>
    <row r="521" spans="31:34">
      <c r="AE521" s="11">
        <v>42157</v>
      </c>
      <c r="AF521" s="12">
        <f t="shared" si="25"/>
        <v>3</v>
      </c>
      <c r="AG521" s="11">
        <f t="shared" si="26"/>
        <v>42163</v>
      </c>
      <c r="AH521" s="11">
        <f t="shared" si="27"/>
        <v>42165</v>
      </c>
    </row>
    <row r="522" spans="31:34">
      <c r="AE522" s="11">
        <v>42158</v>
      </c>
      <c r="AF522" s="12">
        <f t="shared" si="25"/>
        <v>4</v>
      </c>
      <c r="AG522" s="11">
        <f t="shared" si="26"/>
        <v>42163</v>
      </c>
      <c r="AH522" s="11">
        <f t="shared" si="27"/>
        <v>42165</v>
      </c>
    </row>
    <row r="523" spans="31:34">
      <c r="AE523" s="11">
        <v>42159</v>
      </c>
      <c r="AF523" s="12">
        <f t="shared" si="25"/>
        <v>5</v>
      </c>
      <c r="AG523" s="11">
        <f t="shared" si="26"/>
        <v>42164</v>
      </c>
      <c r="AH523" s="11">
        <f t="shared" si="27"/>
        <v>42166</v>
      </c>
    </row>
    <row r="524" spans="31:34">
      <c r="AE524" s="11">
        <v>42160</v>
      </c>
      <c r="AF524" s="12">
        <f t="shared" si="25"/>
        <v>6</v>
      </c>
      <c r="AG524" s="11">
        <f t="shared" si="26"/>
        <v>42165</v>
      </c>
      <c r="AH524" s="11">
        <f t="shared" si="27"/>
        <v>42167</v>
      </c>
    </row>
    <row r="525" spans="31:34">
      <c r="AE525" s="11">
        <v>42161</v>
      </c>
      <c r="AF525" s="12">
        <f t="shared" si="25"/>
        <v>7</v>
      </c>
      <c r="AG525" s="11">
        <f t="shared" si="26"/>
        <v>42166</v>
      </c>
      <c r="AH525" s="11">
        <f t="shared" si="27"/>
        <v>42170</v>
      </c>
    </row>
    <row r="526" spans="31:34">
      <c r="AE526" s="11">
        <v>42162</v>
      </c>
      <c r="AF526" s="12">
        <f t="shared" si="25"/>
        <v>1</v>
      </c>
      <c r="AG526" s="11">
        <f t="shared" si="26"/>
        <v>42166</v>
      </c>
      <c r="AH526" s="11">
        <f t="shared" si="27"/>
        <v>42170</v>
      </c>
    </row>
    <row r="527" spans="31:34">
      <c r="AE527" s="11">
        <v>42163</v>
      </c>
      <c r="AF527" s="12">
        <f t="shared" si="25"/>
        <v>2</v>
      </c>
      <c r="AG527" s="11">
        <f t="shared" si="26"/>
        <v>42167</v>
      </c>
      <c r="AH527" s="11">
        <f t="shared" si="27"/>
        <v>42171</v>
      </c>
    </row>
    <row r="528" spans="31:34">
      <c r="AE528" s="11">
        <v>42164</v>
      </c>
      <c r="AF528" s="12">
        <f t="shared" si="25"/>
        <v>3</v>
      </c>
      <c r="AG528" s="11">
        <f t="shared" si="26"/>
        <v>42170</v>
      </c>
      <c r="AH528" s="11">
        <f t="shared" si="27"/>
        <v>42172</v>
      </c>
    </row>
    <row r="529" spans="31:34">
      <c r="AE529" s="11">
        <v>42165</v>
      </c>
      <c r="AF529" s="12">
        <f t="shared" si="25"/>
        <v>4</v>
      </c>
      <c r="AG529" s="11">
        <f t="shared" si="26"/>
        <v>42170</v>
      </c>
      <c r="AH529" s="11">
        <f t="shared" si="27"/>
        <v>42172</v>
      </c>
    </row>
    <row r="530" spans="31:34">
      <c r="AE530" s="11">
        <v>42166</v>
      </c>
      <c r="AF530" s="12">
        <f t="shared" si="25"/>
        <v>5</v>
      </c>
      <c r="AG530" s="11">
        <f t="shared" si="26"/>
        <v>42171</v>
      </c>
      <c r="AH530" s="11">
        <f t="shared" si="27"/>
        <v>42173</v>
      </c>
    </row>
    <row r="531" spans="31:34">
      <c r="AE531" s="11">
        <v>42167</v>
      </c>
      <c r="AF531" s="12">
        <f t="shared" si="25"/>
        <v>6</v>
      </c>
      <c r="AG531" s="11">
        <f t="shared" si="26"/>
        <v>42172</v>
      </c>
      <c r="AH531" s="11">
        <f t="shared" si="27"/>
        <v>42174</v>
      </c>
    </row>
    <row r="532" spans="31:34">
      <c r="AE532" s="11">
        <v>42168</v>
      </c>
      <c r="AF532" s="12">
        <f t="shared" si="25"/>
        <v>7</v>
      </c>
      <c r="AG532" s="11">
        <f t="shared" si="26"/>
        <v>42173</v>
      </c>
      <c r="AH532" s="11">
        <f t="shared" si="27"/>
        <v>42177</v>
      </c>
    </row>
    <row r="533" spans="31:34">
      <c r="AE533" s="11">
        <v>42169</v>
      </c>
      <c r="AF533" s="12">
        <f t="shared" si="25"/>
        <v>1</v>
      </c>
      <c r="AG533" s="11">
        <f t="shared" si="26"/>
        <v>42173</v>
      </c>
      <c r="AH533" s="11">
        <f t="shared" si="27"/>
        <v>42177</v>
      </c>
    </row>
    <row r="534" spans="31:34">
      <c r="AE534" s="11">
        <v>42170</v>
      </c>
      <c r="AF534" s="12">
        <f t="shared" si="25"/>
        <v>2</v>
      </c>
      <c r="AG534" s="11">
        <f t="shared" si="26"/>
        <v>42174</v>
      </c>
      <c r="AH534" s="11">
        <f t="shared" si="27"/>
        <v>42178</v>
      </c>
    </row>
    <row r="535" spans="31:34">
      <c r="AE535" s="11">
        <v>42171</v>
      </c>
      <c r="AF535" s="12">
        <f t="shared" si="25"/>
        <v>3</v>
      </c>
      <c r="AG535" s="11">
        <f t="shared" si="26"/>
        <v>42177</v>
      </c>
      <c r="AH535" s="11">
        <f t="shared" si="27"/>
        <v>42179</v>
      </c>
    </row>
    <row r="536" spans="31:34">
      <c r="AE536" s="11">
        <v>42172</v>
      </c>
      <c r="AF536" s="12">
        <f t="shared" si="25"/>
        <v>4</v>
      </c>
      <c r="AG536" s="11">
        <f t="shared" si="26"/>
        <v>42177</v>
      </c>
      <c r="AH536" s="11">
        <f t="shared" si="27"/>
        <v>42179</v>
      </c>
    </row>
    <row r="537" spans="31:34">
      <c r="AE537" s="11">
        <v>42173</v>
      </c>
      <c r="AF537" s="12">
        <f t="shared" si="25"/>
        <v>5</v>
      </c>
      <c r="AG537" s="11">
        <f t="shared" si="26"/>
        <v>42178</v>
      </c>
      <c r="AH537" s="11">
        <f t="shared" si="27"/>
        <v>42180</v>
      </c>
    </row>
    <row r="538" spans="31:34">
      <c r="AE538" s="11">
        <v>42174</v>
      </c>
      <c r="AF538" s="12">
        <f t="shared" si="25"/>
        <v>6</v>
      </c>
      <c r="AG538" s="11">
        <f t="shared" si="26"/>
        <v>42179</v>
      </c>
      <c r="AH538" s="11">
        <f t="shared" si="27"/>
        <v>42181</v>
      </c>
    </row>
    <row r="539" spans="31:34">
      <c r="AE539" s="11">
        <v>42175</v>
      </c>
      <c r="AF539" s="12">
        <f t="shared" si="25"/>
        <v>7</v>
      </c>
      <c r="AG539" s="11">
        <f t="shared" si="26"/>
        <v>42180</v>
      </c>
      <c r="AH539" s="11">
        <f t="shared" si="27"/>
        <v>42184</v>
      </c>
    </row>
    <row r="540" spans="31:34">
      <c r="AE540" s="11">
        <v>42176</v>
      </c>
      <c r="AF540" s="12">
        <f t="shared" si="25"/>
        <v>1</v>
      </c>
      <c r="AG540" s="11">
        <f t="shared" si="26"/>
        <v>42180</v>
      </c>
      <c r="AH540" s="11">
        <f t="shared" si="27"/>
        <v>42184</v>
      </c>
    </row>
    <row r="541" spans="31:34">
      <c r="AE541" s="11">
        <v>42177</v>
      </c>
      <c r="AF541" s="12">
        <f t="shared" si="25"/>
        <v>2</v>
      </c>
      <c r="AG541" s="11">
        <f t="shared" si="26"/>
        <v>42181</v>
      </c>
      <c r="AH541" s="11">
        <f t="shared" si="27"/>
        <v>42185</v>
      </c>
    </row>
    <row r="542" spans="31:34">
      <c r="AE542" s="11">
        <v>42178</v>
      </c>
      <c r="AF542" s="12">
        <f t="shared" si="25"/>
        <v>3</v>
      </c>
      <c r="AG542" s="11">
        <f t="shared" si="26"/>
        <v>42184</v>
      </c>
      <c r="AH542" s="11">
        <f t="shared" si="27"/>
        <v>42186</v>
      </c>
    </row>
    <row r="543" spans="31:34">
      <c r="AE543" s="11">
        <v>42179</v>
      </c>
      <c r="AF543" s="12">
        <f t="shared" si="25"/>
        <v>4</v>
      </c>
      <c r="AG543" s="11">
        <f t="shared" si="26"/>
        <v>42184</v>
      </c>
      <c r="AH543" s="11">
        <f t="shared" si="27"/>
        <v>42186</v>
      </c>
    </row>
    <row r="544" spans="31:34">
      <c r="AE544" s="11">
        <v>42180</v>
      </c>
      <c r="AF544" s="12">
        <f t="shared" si="25"/>
        <v>5</v>
      </c>
      <c r="AG544" s="11">
        <f t="shared" si="26"/>
        <v>42185</v>
      </c>
      <c r="AH544" s="11">
        <f t="shared" si="27"/>
        <v>42187</v>
      </c>
    </row>
    <row r="545" spans="31:34">
      <c r="AE545" s="11">
        <v>42181</v>
      </c>
      <c r="AF545" s="12">
        <f t="shared" si="25"/>
        <v>6</v>
      </c>
      <c r="AG545" s="11">
        <f t="shared" si="26"/>
        <v>42186</v>
      </c>
      <c r="AH545" s="11">
        <f t="shared" si="27"/>
        <v>42188</v>
      </c>
    </row>
    <row r="546" spans="31:34">
      <c r="AE546" s="11">
        <v>42182</v>
      </c>
      <c r="AF546" s="12">
        <f t="shared" si="25"/>
        <v>7</v>
      </c>
      <c r="AG546" s="11">
        <f t="shared" si="26"/>
        <v>42187</v>
      </c>
      <c r="AH546" s="11">
        <f t="shared" si="27"/>
        <v>42191</v>
      </c>
    </row>
    <row r="547" spans="31:34">
      <c r="AE547" s="11">
        <v>42183</v>
      </c>
      <c r="AF547" s="12">
        <f t="shared" si="25"/>
        <v>1</v>
      </c>
      <c r="AG547" s="11">
        <f t="shared" si="26"/>
        <v>42187</v>
      </c>
      <c r="AH547" s="11">
        <f t="shared" si="27"/>
        <v>42191</v>
      </c>
    </row>
    <row r="548" spans="31:34">
      <c r="AE548" s="11">
        <v>42184</v>
      </c>
      <c r="AF548" s="12">
        <f t="shared" si="25"/>
        <v>2</v>
      </c>
      <c r="AG548" s="11">
        <f t="shared" si="26"/>
        <v>42188</v>
      </c>
      <c r="AH548" s="11">
        <f t="shared" si="27"/>
        <v>42192</v>
      </c>
    </row>
    <row r="549" spans="31:34">
      <c r="AE549" s="11">
        <v>42185</v>
      </c>
      <c r="AF549" s="12">
        <f t="shared" si="25"/>
        <v>3</v>
      </c>
      <c r="AG549" s="11">
        <f t="shared" si="26"/>
        <v>42191</v>
      </c>
      <c r="AH549" s="11">
        <f t="shared" si="27"/>
        <v>42193</v>
      </c>
    </row>
    <row r="550" spans="31:34">
      <c r="AE550" s="11">
        <v>42186</v>
      </c>
      <c r="AF550" s="12">
        <f t="shared" si="25"/>
        <v>4</v>
      </c>
      <c r="AG550" s="11">
        <v>42192</v>
      </c>
      <c r="AH550" s="11">
        <f t="shared" si="27"/>
        <v>42194</v>
      </c>
    </row>
    <row r="551" spans="31:34">
      <c r="AE551" s="11">
        <v>42187</v>
      </c>
      <c r="AF551" s="12">
        <f t="shared" si="25"/>
        <v>5</v>
      </c>
      <c r="AG551" s="11">
        <v>42193</v>
      </c>
      <c r="AH551" s="11">
        <f t="shared" si="27"/>
        <v>42195</v>
      </c>
    </row>
    <row r="552" spans="31:34">
      <c r="AE552" s="11">
        <v>42188</v>
      </c>
      <c r="AF552" s="12">
        <f t="shared" si="25"/>
        <v>6</v>
      </c>
      <c r="AG552" s="11">
        <v>42194</v>
      </c>
      <c r="AH552" s="11">
        <f t="shared" si="27"/>
        <v>42198</v>
      </c>
    </row>
    <row r="553" spans="31:34">
      <c r="AE553" s="11">
        <v>42189</v>
      </c>
      <c r="AF553" s="12">
        <f t="shared" si="25"/>
        <v>7</v>
      </c>
      <c r="AG553" s="11">
        <f t="shared" si="26"/>
        <v>42194</v>
      </c>
      <c r="AH553" s="11">
        <f t="shared" si="27"/>
        <v>42198</v>
      </c>
    </row>
    <row r="554" spans="31:34">
      <c r="AE554" s="11">
        <v>42190</v>
      </c>
      <c r="AF554" s="12">
        <f t="shared" si="25"/>
        <v>1</v>
      </c>
      <c r="AG554" s="11">
        <f t="shared" si="26"/>
        <v>42194</v>
      </c>
      <c r="AH554" s="11">
        <f t="shared" si="27"/>
        <v>42198</v>
      </c>
    </row>
    <row r="555" spans="31:34">
      <c r="AE555" s="11">
        <v>42191</v>
      </c>
      <c r="AF555" s="12">
        <f t="shared" si="25"/>
        <v>2</v>
      </c>
      <c r="AG555" s="11">
        <f t="shared" si="26"/>
        <v>42195</v>
      </c>
      <c r="AH555" s="11">
        <f t="shared" si="27"/>
        <v>42199</v>
      </c>
    </row>
    <row r="556" spans="31:34">
      <c r="AE556" s="11">
        <v>42192</v>
      </c>
      <c r="AF556" s="12">
        <f t="shared" si="25"/>
        <v>3</v>
      </c>
      <c r="AG556" s="11">
        <f t="shared" si="26"/>
        <v>42198</v>
      </c>
      <c r="AH556" s="11">
        <f t="shared" si="27"/>
        <v>42200</v>
      </c>
    </row>
    <row r="557" spans="31:34">
      <c r="AE557" s="11">
        <v>42193</v>
      </c>
      <c r="AF557" s="12">
        <f t="shared" si="25"/>
        <v>4</v>
      </c>
      <c r="AG557" s="11">
        <f t="shared" si="26"/>
        <v>42198</v>
      </c>
      <c r="AH557" s="11">
        <f t="shared" si="27"/>
        <v>42200</v>
      </c>
    </row>
    <row r="558" spans="31:34">
      <c r="AE558" s="11">
        <v>42194</v>
      </c>
      <c r="AF558" s="12">
        <f t="shared" si="25"/>
        <v>5</v>
      </c>
      <c r="AG558" s="11">
        <f t="shared" si="26"/>
        <v>42199</v>
      </c>
      <c r="AH558" s="11">
        <f t="shared" si="27"/>
        <v>42201</v>
      </c>
    </row>
    <row r="559" spans="31:34">
      <c r="AE559" s="11">
        <v>42195</v>
      </c>
      <c r="AF559" s="12">
        <f t="shared" si="25"/>
        <v>6</v>
      </c>
      <c r="AG559" s="11">
        <f t="shared" si="26"/>
        <v>42200</v>
      </c>
      <c r="AH559" s="11">
        <f t="shared" si="27"/>
        <v>42202</v>
      </c>
    </row>
    <row r="560" spans="31:34">
      <c r="AE560" s="11">
        <v>42196</v>
      </c>
      <c r="AF560" s="12">
        <f t="shared" si="25"/>
        <v>7</v>
      </c>
      <c r="AG560" s="11">
        <f t="shared" si="26"/>
        <v>42201</v>
      </c>
      <c r="AH560" s="11">
        <f t="shared" si="27"/>
        <v>42205</v>
      </c>
    </row>
    <row r="561" spans="31:34">
      <c r="AE561" s="11">
        <v>42197</v>
      </c>
      <c r="AF561" s="12">
        <f t="shared" si="25"/>
        <v>1</v>
      </c>
      <c r="AG561" s="11">
        <f t="shared" si="26"/>
        <v>42201</v>
      </c>
      <c r="AH561" s="11">
        <f t="shared" si="27"/>
        <v>42205</v>
      </c>
    </row>
    <row r="562" spans="31:34">
      <c r="AE562" s="11">
        <v>42198</v>
      </c>
      <c r="AF562" s="12">
        <f t="shared" si="25"/>
        <v>2</v>
      </c>
      <c r="AG562" s="11">
        <f t="shared" si="26"/>
        <v>42202</v>
      </c>
      <c r="AH562" s="11">
        <f t="shared" si="27"/>
        <v>42206</v>
      </c>
    </row>
    <row r="563" spans="31:34">
      <c r="AE563" s="11">
        <v>42199</v>
      </c>
      <c r="AF563" s="12">
        <f t="shared" si="25"/>
        <v>3</v>
      </c>
      <c r="AG563" s="11">
        <f t="shared" si="26"/>
        <v>42205</v>
      </c>
      <c r="AH563" s="11">
        <f t="shared" si="27"/>
        <v>42207</v>
      </c>
    </row>
    <row r="564" spans="31:34">
      <c r="AE564" s="11">
        <v>42200</v>
      </c>
      <c r="AF564" s="12">
        <f t="shared" si="25"/>
        <v>4</v>
      </c>
      <c r="AG564" s="11">
        <f t="shared" si="26"/>
        <v>42205</v>
      </c>
      <c r="AH564" s="11">
        <f t="shared" si="27"/>
        <v>42207</v>
      </c>
    </row>
    <row r="565" spans="31:34">
      <c r="AE565" s="11">
        <v>42201</v>
      </c>
      <c r="AF565" s="12">
        <f t="shared" si="25"/>
        <v>5</v>
      </c>
      <c r="AG565" s="11">
        <f t="shared" si="26"/>
        <v>42206</v>
      </c>
      <c r="AH565" s="11">
        <f t="shared" si="27"/>
        <v>42208</v>
      </c>
    </row>
    <row r="566" spans="31:34">
      <c r="AE566" s="11">
        <v>42202</v>
      </c>
      <c r="AF566" s="12">
        <f t="shared" si="25"/>
        <v>6</v>
      </c>
      <c r="AG566" s="11">
        <f t="shared" si="26"/>
        <v>42207</v>
      </c>
      <c r="AH566" s="11">
        <f t="shared" si="27"/>
        <v>42209</v>
      </c>
    </row>
    <row r="567" spans="31:34">
      <c r="AE567" s="11">
        <v>42203</v>
      </c>
      <c r="AF567" s="12">
        <f t="shared" si="25"/>
        <v>7</v>
      </c>
      <c r="AG567" s="11">
        <f t="shared" si="26"/>
        <v>42208</v>
      </c>
      <c r="AH567" s="11">
        <f t="shared" si="27"/>
        <v>42212</v>
      </c>
    </row>
    <row r="568" spans="31:34">
      <c r="AE568" s="11">
        <v>42204</v>
      </c>
      <c r="AF568" s="12">
        <f t="shared" si="25"/>
        <v>1</v>
      </c>
      <c r="AG568" s="11">
        <f t="shared" si="26"/>
        <v>42208</v>
      </c>
      <c r="AH568" s="11">
        <f t="shared" si="27"/>
        <v>42212</v>
      </c>
    </row>
    <row r="569" spans="31:34">
      <c r="AE569" s="11">
        <v>42205</v>
      </c>
      <c r="AF569" s="12">
        <f t="shared" si="25"/>
        <v>2</v>
      </c>
      <c r="AG569" s="11">
        <f t="shared" si="26"/>
        <v>42209</v>
      </c>
      <c r="AH569" s="11">
        <f t="shared" si="27"/>
        <v>42213</v>
      </c>
    </row>
    <row r="570" spans="31:34">
      <c r="AE570" s="11">
        <v>42206</v>
      </c>
      <c r="AF570" s="12">
        <f t="shared" si="25"/>
        <v>3</v>
      </c>
      <c r="AG570" s="11">
        <f t="shared" si="26"/>
        <v>42212</v>
      </c>
      <c r="AH570" s="11">
        <f t="shared" si="27"/>
        <v>42214</v>
      </c>
    </row>
    <row r="571" spans="31:34">
      <c r="AE571" s="11">
        <v>42207</v>
      </c>
      <c r="AF571" s="12">
        <f t="shared" si="25"/>
        <v>4</v>
      </c>
      <c r="AG571" s="11">
        <f t="shared" si="26"/>
        <v>42212</v>
      </c>
      <c r="AH571" s="11">
        <f t="shared" si="27"/>
        <v>42214</v>
      </c>
    </row>
    <row r="572" spans="31:34">
      <c r="AE572" s="11">
        <v>42208</v>
      </c>
      <c r="AF572" s="12">
        <f t="shared" si="25"/>
        <v>5</v>
      </c>
      <c r="AG572" s="11">
        <f t="shared" si="26"/>
        <v>42213</v>
      </c>
      <c r="AH572" s="11">
        <f t="shared" si="27"/>
        <v>42215</v>
      </c>
    </row>
    <row r="573" spans="31:34">
      <c r="AE573" s="11">
        <v>42209</v>
      </c>
      <c r="AF573" s="12">
        <f t="shared" si="25"/>
        <v>6</v>
      </c>
      <c r="AG573" s="11">
        <f t="shared" si="26"/>
        <v>42214</v>
      </c>
      <c r="AH573" s="11">
        <f t="shared" si="27"/>
        <v>42216</v>
      </c>
    </row>
    <row r="574" spans="31:34">
      <c r="AE574" s="11">
        <v>42210</v>
      </c>
      <c r="AF574" s="12">
        <f t="shared" si="25"/>
        <v>7</v>
      </c>
      <c r="AG574" s="11">
        <f t="shared" si="26"/>
        <v>42215</v>
      </c>
      <c r="AH574" s="11">
        <f t="shared" si="27"/>
        <v>42219</v>
      </c>
    </row>
    <row r="575" spans="31:34">
      <c r="AE575" s="11">
        <v>42211</v>
      </c>
      <c r="AF575" s="12">
        <f t="shared" si="25"/>
        <v>1</v>
      </c>
      <c r="AG575" s="11">
        <f t="shared" si="26"/>
        <v>42215</v>
      </c>
      <c r="AH575" s="11">
        <f t="shared" si="27"/>
        <v>42219</v>
      </c>
    </row>
    <row r="576" spans="31:34">
      <c r="AE576" s="11">
        <v>42212</v>
      </c>
      <c r="AF576" s="12">
        <f t="shared" si="25"/>
        <v>2</v>
      </c>
      <c r="AG576" s="11">
        <f t="shared" si="26"/>
        <v>42216</v>
      </c>
      <c r="AH576" s="11">
        <f t="shared" si="27"/>
        <v>42220</v>
      </c>
    </row>
    <row r="577" spans="31:34">
      <c r="AE577" s="11">
        <v>42213</v>
      </c>
      <c r="AF577" s="12">
        <f t="shared" si="25"/>
        <v>3</v>
      </c>
      <c r="AG577" s="11">
        <f t="shared" si="26"/>
        <v>42219</v>
      </c>
      <c r="AH577" s="11">
        <f t="shared" si="27"/>
        <v>42221</v>
      </c>
    </row>
    <row r="578" spans="31:34">
      <c r="AE578" s="11">
        <v>42214</v>
      </c>
      <c r="AF578" s="12">
        <f t="shared" si="25"/>
        <v>4</v>
      </c>
      <c r="AG578" s="11">
        <f t="shared" si="26"/>
        <v>42219</v>
      </c>
      <c r="AH578" s="11">
        <f t="shared" si="27"/>
        <v>42221</v>
      </c>
    </row>
    <row r="579" spans="31:34">
      <c r="AE579" s="11">
        <v>42215</v>
      </c>
      <c r="AF579" s="12">
        <f t="shared" si="25"/>
        <v>5</v>
      </c>
      <c r="AG579" s="11">
        <f t="shared" si="26"/>
        <v>42220</v>
      </c>
      <c r="AH579" s="11">
        <f t="shared" si="27"/>
        <v>42222</v>
      </c>
    </row>
    <row r="580" spans="31:34">
      <c r="AE580" s="11">
        <v>42216</v>
      </c>
      <c r="AF580" s="12">
        <f t="shared" si="25"/>
        <v>6</v>
      </c>
      <c r="AG580" s="11">
        <f t="shared" si="26"/>
        <v>42221</v>
      </c>
      <c r="AH580" s="11">
        <f t="shared" si="27"/>
        <v>42223</v>
      </c>
    </row>
    <row r="581" spans="31:34">
      <c r="AE581" s="11">
        <v>42217</v>
      </c>
      <c r="AF581" s="12">
        <f t="shared" ref="AF581:AF644" si="28">WEEKDAY(AE581)</f>
        <v>7</v>
      </c>
      <c r="AG581" s="11">
        <f t="shared" ref="AG581:AG644" si="29">AE581+(VLOOKUP(AF581, $AJ$4:$AK$10, 2, FALSE))</f>
        <v>42222</v>
      </c>
      <c r="AH581" s="11">
        <f t="shared" ref="AH581:AH644" si="30">IFERROR((WORKDAY(AG581, 2, AC$4:AC$53)), "")</f>
        <v>42226</v>
      </c>
    </row>
    <row r="582" spans="31:34">
      <c r="AE582" s="11">
        <v>42218</v>
      </c>
      <c r="AF582" s="12">
        <f t="shared" si="28"/>
        <v>1</v>
      </c>
      <c r="AG582" s="11">
        <f t="shared" si="29"/>
        <v>42222</v>
      </c>
      <c r="AH582" s="11">
        <f t="shared" si="30"/>
        <v>42226</v>
      </c>
    </row>
    <row r="583" spans="31:34">
      <c r="AE583" s="11">
        <v>42219</v>
      </c>
      <c r="AF583" s="12">
        <f t="shared" si="28"/>
        <v>2</v>
      </c>
      <c r="AG583" s="11">
        <f t="shared" si="29"/>
        <v>42223</v>
      </c>
      <c r="AH583" s="11">
        <f t="shared" si="30"/>
        <v>42227</v>
      </c>
    </row>
    <row r="584" spans="31:34">
      <c r="AE584" s="11">
        <v>42220</v>
      </c>
      <c r="AF584" s="12">
        <f t="shared" si="28"/>
        <v>3</v>
      </c>
      <c r="AG584" s="11">
        <f t="shared" si="29"/>
        <v>42226</v>
      </c>
      <c r="AH584" s="11">
        <f t="shared" si="30"/>
        <v>42228</v>
      </c>
    </row>
    <row r="585" spans="31:34">
      <c r="AE585" s="11">
        <v>42221</v>
      </c>
      <c r="AF585" s="12">
        <f t="shared" si="28"/>
        <v>4</v>
      </c>
      <c r="AG585" s="11">
        <f t="shared" si="29"/>
        <v>42226</v>
      </c>
      <c r="AH585" s="11">
        <f t="shared" si="30"/>
        <v>42228</v>
      </c>
    </row>
    <row r="586" spans="31:34">
      <c r="AE586" s="11">
        <v>42222</v>
      </c>
      <c r="AF586" s="12">
        <f t="shared" si="28"/>
        <v>5</v>
      </c>
      <c r="AG586" s="11">
        <f t="shared" si="29"/>
        <v>42227</v>
      </c>
      <c r="AH586" s="11">
        <f t="shared" si="30"/>
        <v>42229</v>
      </c>
    </row>
    <row r="587" spans="31:34">
      <c r="AE587" s="11">
        <v>42223</v>
      </c>
      <c r="AF587" s="12">
        <f t="shared" si="28"/>
        <v>6</v>
      </c>
      <c r="AG587" s="11">
        <f t="shared" si="29"/>
        <v>42228</v>
      </c>
      <c r="AH587" s="11">
        <f t="shared" si="30"/>
        <v>42230</v>
      </c>
    </row>
    <row r="588" spans="31:34">
      <c r="AE588" s="11">
        <v>42224</v>
      </c>
      <c r="AF588" s="12">
        <f t="shared" si="28"/>
        <v>7</v>
      </c>
      <c r="AG588" s="11">
        <f t="shared" si="29"/>
        <v>42229</v>
      </c>
      <c r="AH588" s="11">
        <f t="shared" si="30"/>
        <v>42233</v>
      </c>
    </row>
    <row r="589" spans="31:34">
      <c r="AE589" s="11">
        <v>42225</v>
      </c>
      <c r="AF589" s="12">
        <f t="shared" si="28"/>
        <v>1</v>
      </c>
      <c r="AG589" s="11">
        <f t="shared" si="29"/>
        <v>42229</v>
      </c>
      <c r="AH589" s="11">
        <f t="shared" si="30"/>
        <v>42233</v>
      </c>
    </row>
    <row r="590" spans="31:34">
      <c r="AE590" s="11">
        <v>42226</v>
      </c>
      <c r="AF590" s="12">
        <f t="shared" si="28"/>
        <v>2</v>
      </c>
      <c r="AG590" s="11">
        <f t="shared" si="29"/>
        <v>42230</v>
      </c>
      <c r="AH590" s="11">
        <f t="shared" si="30"/>
        <v>42234</v>
      </c>
    </row>
    <row r="591" spans="31:34">
      <c r="AE591" s="11">
        <v>42227</v>
      </c>
      <c r="AF591" s="12">
        <f t="shared" si="28"/>
        <v>3</v>
      </c>
      <c r="AG591" s="11">
        <f t="shared" si="29"/>
        <v>42233</v>
      </c>
      <c r="AH591" s="11">
        <f t="shared" si="30"/>
        <v>42235</v>
      </c>
    </row>
    <row r="592" spans="31:34">
      <c r="AE592" s="11">
        <v>42228</v>
      </c>
      <c r="AF592" s="12">
        <f t="shared" si="28"/>
        <v>4</v>
      </c>
      <c r="AG592" s="11">
        <f t="shared" si="29"/>
        <v>42233</v>
      </c>
      <c r="AH592" s="11">
        <f t="shared" si="30"/>
        <v>42235</v>
      </c>
    </row>
    <row r="593" spans="31:34">
      <c r="AE593" s="11">
        <v>42229</v>
      </c>
      <c r="AF593" s="12">
        <f t="shared" si="28"/>
        <v>5</v>
      </c>
      <c r="AG593" s="11">
        <f t="shared" si="29"/>
        <v>42234</v>
      </c>
      <c r="AH593" s="11">
        <f t="shared" si="30"/>
        <v>42236</v>
      </c>
    </row>
    <row r="594" spans="31:34">
      <c r="AE594" s="11">
        <v>42230</v>
      </c>
      <c r="AF594" s="12">
        <f t="shared" si="28"/>
        <v>6</v>
      </c>
      <c r="AG594" s="11">
        <f t="shared" si="29"/>
        <v>42235</v>
      </c>
      <c r="AH594" s="11">
        <f t="shared" si="30"/>
        <v>42237</v>
      </c>
    </row>
    <row r="595" spans="31:34">
      <c r="AE595" s="11">
        <v>42231</v>
      </c>
      <c r="AF595" s="12">
        <f t="shared" si="28"/>
        <v>7</v>
      </c>
      <c r="AG595" s="11">
        <f t="shared" si="29"/>
        <v>42236</v>
      </c>
      <c r="AH595" s="11">
        <f t="shared" si="30"/>
        <v>42240</v>
      </c>
    </row>
    <row r="596" spans="31:34">
      <c r="AE596" s="11">
        <v>42232</v>
      </c>
      <c r="AF596" s="12">
        <f t="shared" si="28"/>
        <v>1</v>
      </c>
      <c r="AG596" s="11">
        <f t="shared" si="29"/>
        <v>42236</v>
      </c>
      <c r="AH596" s="11">
        <f t="shared" si="30"/>
        <v>42240</v>
      </c>
    </row>
    <row r="597" spans="31:34">
      <c r="AE597" s="11">
        <v>42233</v>
      </c>
      <c r="AF597" s="12">
        <f t="shared" si="28"/>
        <v>2</v>
      </c>
      <c r="AG597" s="11">
        <f t="shared" si="29"/>
        <v>42237</v>
      </c>
      <c r="AH597" s="11">
        <f t="shared" si="30"/>
        <v>42241</v>
      </c>
    </row>
    <row r="598" spans="31:34">
      <c r="AE598" s="11">
        <v>42234</v>
      </c>
      <c r="AF598" s="12">
        <f t="shared" si="28"/>
        <v>3</v>
      </c>
      <c r="AG598" s="11">
        <f t="shared" si="29"/>
        <v>42240</v>
      </c>
      <c r="AH598" s="11">
        <f t="shared" si="30"/>
        <v>42242</v>
      </c>
    </row>
    <row r="599" spans="31:34">
      <c r="AE599" s="11">
        <v>42235</v>
      </c>
      <c r="AF599" s="12">
        <f t="shared" si="28"/>
        <v>4</v>
      </c>
      <c r="AG599" s="11">
        <f t="shared" si="29"/>
        <v>42240</v>
      </c>
      <c r="AH599" s="11">
        <f t="shared" si="30"/>
        <v>42242</v>
      </c>
    </row>
    <row r="600" spans="31:34">
      <c r="AE600" s="11">
        <v>42236</v>
      </c>
      <c r="AF600" s="12">
        <f t="shared" si="28"/>
        <v>5</v>
      </c>
      <c r="AG600" s="11">
        <f t="shared" si="29"/>
        <v>42241</v>
      </c>
      <c r="AH600" s="11">
        <f t="shared" si="30"/>
        <v>42243</v>
      </c>
    </row>
    <row r="601" spans="31:34">
      <c r="AE601" s="11">
        <v>42237</v>
      </c>
      <c r="AF601" s="12">
        <f t="shared" si="28"/>
        <v>6</v>
      </c>
      <c r="AG601" s="11">
        <f t="shared" si="29"/>
        <v>42242</v>
      </c>
      <c r="AH601" s="11">
        <f t="shared" si="30"/>
        <v>42244</v>
      </c>
    </row>
    <row r="602" spans="31:34">
      <c r="AE602" s="11">
        <v>42238</v>
      </c>
      <c r="AF602" s="12">
        <f t="shared" si="28"/>
        <v>7</v>
      </c>
      <c r="AG602" s="11">
        <f t="shared" si="29"/>
        <v>42243</v>
      </c>
      <c r="AH602" s="11">
        <f t="shared" si="30"/>
        <v>42247</v>
      </c>
    </row>
    <row r="603" spans="31:34">
      <c r="AE603" s="11">
        <v>42239</v>
      </c>
      <c r="AF603" s="12">
        <f t="shared" si="28"/>
        <v>1</v>
      </c>
      <c r="AG603" s="11">
        <f t="shared" si="29"/>
        <v>42243</v>
      </c>
      <c r="AH603" s="11">
        <f t="shared" si="30"/>
        <v>42247</v>
      </c>
    </row>
    <row r="604" spans="31:34">
      <c r="AE604" s="11">
        <v>42240</v>
      </c>
      <c r="AF604" s="12">
        <f t="shared" si="28"/>
        <v>2</v>
      </c>
      <c r="AG604" s="11">
        <f t="shared" si="29"/>
        <v>42244</v>
      </c>
      <c r="AH604" s="11">
        <f t="shared" si="30"/>
        <v>42248</v>
      </c>
    </row>
    <row r="605" spans="31:34">
      <c r="AE605" s="11">
        <v>42241</v>
      </c>
      <c r="AF605" s="12">
        <f t="shared" si="28"/>
        <v>3</v>
      </c>
      <c r="AG605" s="11">
        <f t="shared" si="29"/>
        <v>42247</v>
      </c>
      <c r="AH605" s="11">
        <f t="shared" si="30"/>
        <v>42249</v>
      </c>
    </row>
    <row r="606" spans="31:34">
      <c r="AE606" s="11">
        <v>42242</v>
      </c>
      <c r="AF606" s="12">
        <f t="shared" si="28"/>
        <v>4</v>
      </c>
      <c r="AG606" s="11">
        <f t="shared" si="29"/>
        <v>42247</v>
      </c>
      <c r="AH606" s="11">
        <f t="shared" si="30"/>
        <v>42249</v>
      </c>
    </row>
    <row r="607" spans="31:34">
      <c r="AE607" s="11">
        <v>42243</v>
      </c>
      <c r="AF607" s="12">
        <f t="shared" si="28"/>
        <v>5</v>
      </c>
      <c r="AG607" s="11">
        <f t="shared" si="29"/>
        <v>42248</v>
      </c>
      <c r="AH607" s="11">
        <f t="shared" si="30"/>
        <v>42250</v>
      </c>
    </row>
    <row r="608" spans="31:34">
      <c r="AE608" s="11">
        <v>42244</v>
      </c>
      <c r="AF608" s="12">
        <f t="shared" si="28"/>
        <v>6</v>
      </c>
      <c r="AG608" s="11">
        <f t="shared" si="29"/>
        <v>42249</v>
      </c>
      <c r="AH608" s="11">
        <f t="shared" si="30"/>
        <v>42251</v>
      </c>
    </row>
    <row r="609" spans="31:34">
      <c r="AE609" s="11">
        <v>42245</v>
      </c>
      <c r="AF609" s="12">
        <f t="shared" si="28"/>
        <v>7</v>
      </c>
      <c r="AG609" s="11">
        <f t="shared" si="29"/>
        <v>42250</v>
      </c>
      <c r="AH609" s="11">
        <f t="shared" si="30"/>
        <v>42255</v>
      </c>
    </row>
    <row r="610" spans="31:34">
      <c r="AE610" s="11">
        <v>42246</v>
      </c>
      <c r="AF610" s="12">
        <f t="shared" si="28"/>
        <v>1</v>
      </c>
      <c r="AG610" s="11">
        <f t="shared" si="29"/>
        <v>42250</v>
      </c>
      <c r="AH610" s="11">
        <f t="shared" si="30"/>
        <v>42255</v>
      </c>
    </row>
    <row r="611" spans="31:34">
      <c r="AE611" s="11">
        <v>42247</v>
      </c>
      <c r="AF611" s="12">
        <f t="shared" si="28"/>
        <v>2</v>
      </c>
      <c r="AG611" s="11">
        <f t="shared" si="29"/>
        <v>42251</v>
      </c>
      <c r="AH611" s="11">
        <f t="shared" si="30"/>
        <v>42256</v>
      </c>
    </row>
    <row r="612" spans="31:34">
      <c r="AE612" s="11">
        <v>42248</v>
      </c>
      <c r="AF612" s="12">
        <f t="shared" si="28"/>
        <v>3</v>
      </c>
      <c r="AG612" s="11">
        <v>42255</v>
      </c>
      <c r="AH612" s="11">
        <f t="shared" si="30"/>
        <v>42257</v>
      </c>
    </row>
    <row r="613" spans="31:34">
      <c r="AE613" s="11">
        <v>42249</v>
      </c>
      <c r="AF613" s="12">
        <f t="shared" si="28"/>
        <v>4</v>
      </c>
      <c r="AG613" s="11">
        <v>42255</v>
      </c>
      <c r="AH613" s="11">
        <f t="shared" si="30"/>
        <v>42257</v>
      </c>
    </row>
    <row r="614" spans="31:34">
      <c r="AE614" s="11">
        <v>42250</v>
      </c>
      <c r="AF614" s="12">
        <f t="shared" si="28"/>
        <v>5</v>
      </c>
      <c r="AG614" s="11">
        <v>42256</v>
      </c>
      <c r="AH614" s="11">
        <f t="shared" si="30"/>
        <v>42258</v>
      </c>
    </row>
    <row r="615" spans="31:34">
      <c r="AE615" s="11">
        <v>42251</v>
      </c>
      <c r="AF615" s="12">
        <f t="shared" si="28"/>
        <v>6</v>
      </c>
      <c r="AG615" s="11">
        <v>42257</v>
      </c>
      <c r="AH615" s="11">
        <f t="shared" si="30"/>
        <v>42261</v>
      </c>
    </row>
    <row r="616" spans="31:34">
      <c r="AE616" s="11">
        <v>42252</v>
      </c>
      <c r="AF616" s="12">
        <f t="shared" si="28"/>
        <v>7</v>
      </c>
      <c r="AG616" s="11">
        <v>42258</v>
      </c>
      <c r="AH616" s="11">
        <f t="shared" si="30"/>
        <v>42262</v>
      </c>
    </row>
    <row r="617" spans="31:34">
      <c r="AE617" s="11">
        <v>42253</v>
      </c>
      <c r="AF617" s="12">
        <f t="shared" si="28"/>
        <v>1</v>
      </c>
      <c r="AG617" s="11">
        <v>42258</v>
      </c>
      <c r="AH617" s="11">
        <f t="shared" si="30"/>
        <v>42262</v>
      </c>
    </row>
    <row r="618" spans="31:34">
      <c r="AE618" s="11">
        <v>42254</v>
      </c>
      <c r="AF618" s="12">
        <f t="shared" si="28"/>
        <v>2</v>
      </c>
      <c r="AG618" s="11">
        <f t="shared" si="29"/>
        <v>42258</v>
      </c>
      <c r="AH618" s="11">
        <f t="shared" si="30"/>
        <v>42262</v>
      </c>
    </row>
    <row r="619" spans="31:34">
      <c r="AE619" s="11">
        <v>42255</v>
      </c>
      <c r="AF619" s="12">
        <f t="shared" si="28"/>
        <v>3</v>
      </c>
      <c r="AG619" s="11">
        <f t="shared" si="29"/>
        <v>42261</v>
      </c>
      <c r="AH619" s="11">
        <f t="shared" si="30"/>
        <v>42263</v>
      </c>
    </row>
    <row r="620" spans="31:34">
      <c r="AE620" s="11">
        <v>42256</v>
      </c>
      <c r="AF620" s="12">
        <f t="shared" si="28"/>
        <v>4</v>
      </c>
      <c r="AG620" s="11">
        <f t="shared" si="29"/>
        <v>42261</v>
      </c>
      <c r="AH620" s="11">
        <f t="shared" si="30"/>
        <v>42263</v>
      </c>
    </row>
    <row r="621" spans="31:34">
      <c r="AE621" s="11">
        <v>42257</v>
      </c>
      <c r="AF621" s="12">
        <f t="shared" si="28"/>
        <v>5</v>
      </c>
      <c r="AG621" s="11">
        <f t="shared" si="29"/>
        <v>42262</v>
      </c>
      <c r="AH621" s="11">
        <f t="shared" si="30"/>
        <v>42264</v>
      </c>
    </row>
    <row r="622" spans="31:34">
      <c r="AE622" s="11">
        <v>42258</v>
      </c>
      <c r="AF622" s="12">
        <f t="shared" si="28"/>
        <v>6</v>
      </c>
      <c r="AG622" s="11">
        <f t="shared" si="29"/>
        <v>42263</v>
      </c>
      <c r="AH622" s="11">
        <f t="shared" si="30"/>
        <v>42265</v>
      </c>
    </row>
    <row r="623" spans="31:34">
      <c r="AE623" s="11">
        <v>42259</v>
      </c>
      <c r="AF623" s="12">
        <f t="shared" si="28"/>
        <v>7</v>
      </c>
      <c r="AG623" s="11">
        <f t="shared" si="29"/>
        <v>42264</v>
      </c>
      <c r="AH623" s="11">
        <f t="shared" si="30"/>
        <v>42268</v>
      </c>
    </row>
    <row r="624" spans="31:34">
      <c r="AE624" s="11">
        <v>42260</v>
      </c>
      <c r="AF624" s="12">
        <f t="shared" si="28"/>
        <v>1</v>
      </c>
      <c r="AG624" s="11">
        <f t="shared" si="29"/>
        <v>42264</v>
      </c>
      <c r="AH624" s="11">
        <f t="shared" si="30"/>
        <v>42268</v>
      </c>
    </row>
    <row r="625" spans="31:34">
      <c r="AE625" s="11">
        <v>42261</v>
      </c>
      <c r="AF625" s="12">
        <f t="shared" si="28"/>
        <v>2</v>
      </c>
      <c r="AG625" s="11">
        <f t="shared" si="29"/>
        <v>42265</v>
      </c>
      <c r="AH625" s="11">
        <f t="shared" si="30"/>
        <v>42269</v>
      </c>
    </row>
    <row r="626" spans="31:34">
      <c r="AE626" s="11">
        <v>42262</v>
      </c>
      <c r="AF626" s="12">
        <f t="shared" si="28"/>
        <v>3</v>
      </c>
      <c r="AG626" s="11">
        <f t="shared" si="29"/>
        <v>42268</v>
      </c>
      <c r="AH626" s="11">
        <f t="shared" si="30"/>
        <v>42270</v>
      </c>
    </row>
    <row r="627" spans="31:34">
      <c r="AE627" s="11">
        <v>42263</v>
      </c>
      <c r="AF627" s="12">
        <f t="shared" si="28"/>
        <v>4</v>
      </c>
      <c r="AG627" s="11">
        <f t="shared" si="29"/>
        <v>42268</v>
      </c>
      <c r="AH627" s="11">
        <f t="shared" si="30"/>
        <v>42270</v>
      </c>
    </row>
    <row r="628" spans="31:34">
      <c r="AE628" s="11">
        <v>42264</v>
      </c>
      <c r="AF628" s="12">
        <f t="shared" si="28"/>
        <v>5</v>
      </c>
      <c r="AG628" s="11">
        <f t="shared" si="29"/>
        <v>42269</v>
      </c>
      <c r="AH628" s="11">
        <f t="shared" si="30"/>
        <v>42271</v>
      </c>
    </row>
    <row r="629" spans="31:34">
      <c r="AE629" s="11">
        <v>42265</v>
      </c>
      <c r="AF629" s="12">
        <f t="shared" si="28"/>
        <v>6</v>
      </c>
      <c r="AG629" s="11">
        <f t="shared" si="29"/>
        <v>42270</v>
      </c>
      <c r="AH629" s="11">
        <f t="shared" si="30"/>
        <v>42272</v>
      </c>
    </row>
    <row r="630" spans="31:34">
      <c r="AE630" s="11">
        <v>42266</v>
      </c>
      <c r="AF630" s="12">
        <f t="shared" si="28"/>
        <v>7</v>
      </c>
      <c r="AG630" s="11">
        <f t="shared" si="29"/>
        <v>42271</v>
      </c>
      <c r="AH630" s="11">
        <f t="shared" si="30"/>
        <v>42275</v>
      </c>
    </row>
    <row r="631" spans="31:34">
      <c r="AE631" s="11">
        <v>42267</v>
      </c>
      <c r="AF631" s="12">
        <f t="shared" si="28"/>
        <v>1</v>
      </c>
      <c r="AG631" s="11">
        <f t="shared" si="29"/>
        <v>42271</v>
      </c>
      <c r="AH631" s="11">
        <f t="shared" si="30"/>
        <v>42275</v>
      </c>
    </row>
    <row r="632" spans="31:34">
      <c r="AE632" s="11">
        <v>42268</v>
      </c>
      <c r="AF632" s="12">
        <f t="shared" si="28"/>
        <v>2</v>
      </c>
      <c r="AG632" s="11">
        <f t="shared" si="29"/>
        <v>42272</v>
      </c>
      <c r="AH632" s="11">
        <f t="shared" si="30"/>
        <v>42276</v>
      </c>
    </row>
    <row r="633" spans="31:34">
      <c r="AE633" s="11">
        <v>42269</v>
      </c>
      <c r="AF633" s="12">
        <f t="shared" si="28"/>
        <v>3</v>
      </c>
      <c r="AG633" s="11">
        <f t="shared" si="29"/>
        <v>42275</v>
      </c>
      <c r="AH633" s="11">
        <f t="shared" si="30"/>
        <v>42277</v>
      </c>
    </row>
    <row r="634" spans="31:34">
      <c r="AE634" s="11">
        <v>42270</v>
      </c>
      <c r="AF634" s="12">
        <f t="shared" si="28"/>
        <v>4</v>
      </c>
      <c r="AG634" s="11">
        <f t="shared" si="29"/>
        <v>42275</v>
      </c>
      <c r="AH634" s="11">
        <f t="shared" si="30"/>
        <v>42277</v>
      </c>
    </row>
    <row r="635" spans="31:34">
      <c r="AE635" s="11">
        <v>42271</v>
      </c>
      <c r="AF635" s="12">
        <f t="shared" si="28"/>
        <v>5</v>
      </c>
      <c r="AG635" s="11">
        <f t="shared" si="29"/>
        <v>42276</v>
      </c>
      <c r="AH635" s="11">
        <f t="shared" si="30"/>
        <v>42278</v>
      </c>
    </row>
    <row r="636" spans="31:34">
      <c r="AE636" s="11">
        <v>42272</v>
      </c>
      <c r="AF636" s="12">
        <f t="shared" si="28"/>
        <v>6</v>
      </c>
      <c r="AG636" s="11">
        <f t="shared" si="29"/>
        <v>42277</v>
      </c>
      <c r="AH636" s="11">
        <f t="shared" si="30"/>
        <v>42279</v>
      </c>
    </row>
    <row r="637" spans="31:34">
      <c r="AE637" s="11">
        <v>42273</v>
      </c>
      <c r="AF637" s="12">
        <f t="shared" si="28"/>
        <v>7</v>
      </c>
      <c r="AG637" s="11">
        <f t="shared" si="29"/>
        <v>42278</v>
      </c>
      <c r="AH637" s="11">
        <f t="shared" si="30"/>
        <v>42282</v>
      </c>
    </row>
    <row r="638" spans="31:34">
      <c r="AE638" s="11">
        <v>42274</v>
      </c>
      <c r="AF638" s="12">
        <f t="shared" si="28"/>
        <v>1</v>
      </c>
      <c r="AG638" s="11">
        <f t="shared" si="29"/>
        <v>42278</v>
      </c>
      <c r="AH638" s="11">
        <f t="shared" si="30"/>
        <v>42282</v>
      </c>
    </row>
    <row r="639" spans="31:34">
      <c r="AE639" s="11">
        <v>42275</v>
      </c>
      <c r="AF639" s="12">
        <f t="shared" si="28"/>
        <v>2</v>
      </c>
      <c r="AG639" s="11">
        <f t="shared" si="29"/>
        <v>42279</v>
      </c>
      <c r="AH639" s="11">
        <f t="shared" si="30"/>
        <v>42283</v>
      </c>
    </row>
    <row r="640" spans="31:34">
      <c r="AE640" s="11">
        <v>42276</v>
      </c>
      <c r="AF640" s="12">
        <f t="shared" si="28"/>
        <v>3</v>
      </c>
      <c r="AG640" s="11">
        <f t="shared" si="29"/>
        <v>42282</v>
      </c>
      <c r="AH640" s="11">
        <f t="shared" si="30"/>
        <v>42284</v>
      </c>
    </row>
    <row r="641" spans="31:34">
      <c r="AE641" s="11">
        <v>42277</v>
      </c>
      <c r="AF641" s="12">
        <f t="shared" si="28"/>
        <v>4</v>
      </c>
      <c r="AG641" s="11">
        <f t="shared" si="29"/>
        <v>42282</v>
      </c>
      <c r="AH641" s="11">
        <f t="shared" si="30"/>
        <v>42284</v>
      </c>
    </row>
    <row r="642" spans="31:34">
      <c r="AE642" s="11">
        <v>42278</v>
      </c>
      <c r="AF642" s="12">
        <f t="shared" si="28"/>
        <v>5</v>
      </c>
      <c r="AG642" s="11">
        <f t="shared" si="29"/>
        <v>42283</v>
      </c>
      <c r="AH642" s="11">
        <f t="shared" si="30"/>
        <v>42285</v>
      </c>
    </row>
    <row r="643" spans="31:34">
      <c r="AE643" s="11">
        <v>42279</v>
      </c>
      <c r="AF643" s="12">
        <f t="shared" si="28"/>
        <v>6</v>
      </c>
      <c r="AG643" s="11">
        <f t="shared" si="29"/>
        <v>42284</v>
      </c>
      <c r="AH643" s="11">
        <f t="shared" si="30"/>
        <v>42286</v>
      </c>
    </row>
    <row r="644" spans="31:34">
      <c r="AE644" s="11">
        <v>42280</v>
      </c>
      <c r="AF644" s="12">
        <f t="shared" si="28"/>
        <v>7</v>
      </c>
      <c r="AG644" s="11">
        <f t="shared" si="29"/>
        <v>42285</v>
      </c>
      <c r="AH644" s="11">
        <f t="shared" si="30"/>
        <v>42290</v>
      </c>
    </row>
    <row r="645" spans="31:34">
      <c r="AE645" s="11">
        <v>42281</v>
      </c>
      <c r="AF645" s="12">
        <f t="shared" ref="AF645:AF708" si="31">WEEKDAY(AE645)</f>
        <v>1</v>
      </c>
      <c r="AG645" s="11">
        <f t="shared" ref="AG645:AG708" si="32">AE645+(VLOOKUP(AF645, $AJ$4:$AK$10, 2, FALSE))</f>
        <v>42285</v>
      </c>
      <c r="AH645" s="11">
        <f t="shared" ref="AH645:AH708" si="33">IFERROR((WORKDAY(AG645, 2, AC$4:AC$53)), "")</f>
        <v>42290</v>
      </c>
    </row>
    <row r="646" spans="31:34">
      <c r="AE646" s="11">
        <v>42282</v>
      </c>
      <c r="AF646" s="12">
        <f t="shared" si="31"/>
        <v>2</v>
      </c>
      <c r="AG646" s="11">
        <f t="shared" si="32"/>
        <v>42286</v>
      </c>
      <c r="AH646" s="11">
        <f t="shared" si="33"/>
        <v>42291</v>
      </c>
    </row>
    <row r="647" spans="31:34">
      <c r="AE647" s="11">
        <v>42283</v>
      </c>
      <c r="AF647" s="12">
        <f t="shared" si="31"/>
        <v>3</v>
      </c>
      <c r="AG647" s="11">
        <v>42290</v>
      </c>
      <c r="AH647" s="11">
        <f t="shared" si="33"/>
        <v>42292</v>
      </c>
    </row>
    <row r="648" spans="31:34">
      <c r="AE648" s="11">
        <v>42284</v>
      </c>
      <c r="AF648" s="12">
        <f t="shared" si="31"/>
        <v>4</v>
      </c>
      <c r="AG648" s="11">
        <v>42290</v>
      </c>
      <c r="AH648" s="11">
        <f t="shared" si="33"/>
        <v>42292</v>
      </c>
    </row>
    <row r="649" spans="31:34">
      <c r="AE649" s="11">
        <v>42285</v>
      </c>
      <c r="AF649" s="12">
        <f t="shared" si="31"/>
        <v>5</v>
      </c>
      <c r="AG649" s="11">
        <v>42291</v>
      </c>
      <c r="AH649" s="11">
        <f t="shared" si="33"/>
        <v>42293</v>
      </c>
    </row>
    <row r="650" spans="31:34">
      <c r="AE650" s="11">
        <v>42286</v>
      </c>
      <c r="AF650" s="12">
        <f t="shared" si="31"/>
        <v>6</v>
      </c>
      <c r="AG650" s="11">
        <v>42292</v>
      </c>
      <c r="AH650" s="11">
        <f t="shared" si="33"/>
        <v>42296</v>
      </c>
    </row>
    <row r="651" spans="31:34">
      <c r="AE651" s="11">
        <v>42287</v>
      </c>
      <c r="AF651" s="12">
        <f t="shared" si="31"/>
        <v>7</v>
      </c>
      <c r="AG651" s="11">
        <v>42293</v>
      </c>
      <c r="AH651" s="11">
        <f t="shared" si="33"/>
        <v>42297</v>
      </c>
    </row>
    <row r="652" spans="31:34">
      <c r="AE652" s="11">
        <v>42288</v>
      </c>
      <c r="AF652" s="12">
        <f t="shared" si="31"/>
        <v>1</v>
      </c>
      <c r="AG652" s="11">
        <v>42293</v>
      </c>
      <c r="AH652" s="11">
        <f t="shared" si="33"/>
        <v>42297</v>
      </c>
    </row>
    <row r="653" spans="31:34">
      <c r="AE653" s="11">
        <v>42289</v>
      </c>
      <c r="AF653" s="12">
        <f t="shared" si="31"/>
        <v>2</v>
      </c>
      <c r="AG653" s="11">
        <f t="shared" si="32"/>
        <v>42293</v>
      </c>
      <c r="AH653" s="11">
        <f t="shared" si="33"/>
        <v>42297</v>
      </c>
    </row>
    <row r="654" spans="31:34">
      <c r="AE654" s="11">
        <v>42290</v>
      </c>
      <c r="AF654" s="12">
        <f t="shared" si="31"/>
        <v>3</v>
      </c>
      <c r="AG654" s="11">
        <f t="shared" si="32"/>
        <v>42296</v>
      </c>
      <c r="AH654" s="11">
        <f t="shared" si="33"/>
        <v>42298</v>
      </c>
    </row>
    <row r="655" spans="31:34">
      <c r="AE655" s="11">
        <v>42291</v>
      </c>
      <c r="AF655" s="12">
        <f t="shared" si="31"/>
        <v>4</v>
      </c>
      <c r="AG655" s="11">
        <f t="shared" si="32"/>
        <v>42296</v>
      </c>
      <c r="AH655" s="11">
        <f t="shared" si="33"/>
        <v>42298</v>
      </c>
    </row>
    <row r="656" spans="31:34">
      <c r="AE656" s="11">
        <v>42292</v>
      </c>
      <c r="AF656" s="12">
        <f t="shared" si="31"/>
        <v>5</v>
      </c>
      <c r="AG656" s="11">
        <f t="shared" si="32"/>
        <v>42297</v>
      </c>
      <c r="AH656" s="11">
        <f t="shared" si="33"/>
        <v>42299</v>
      </c>
    </row>
    <row r="657" spans="31:34">
      <c r="AE657" s="11">
        <v>42293</v>
      </c>
      <c r="AF657" s="12">
        <f t="shared" si="31"/>
        <v>6</v>
      </c>
      <c r="AG657" s="11">
        <f t="shared" si="32"/>
        <v>42298</v>
      </c>
      <c r="AH657" s="11">
        <f t="shared" si="33"/>
        <v>42300</v>
      </c>
    </row>
    <row r="658" spans="31:34">
      <c r="AE658" s="11">
        <v>42294</v>
      </c>
      <c r="AF658" s="12">
        <f t="shared" si="31"/>
        <v>7</v>
      </c>
      <c r="AG658" s="11">
        <f t="shared" si="32"/>
        <v>42299</v>
      </c>
      <c r="AH658" s="11">
        <f t="shared" si="33"/>
        <v>42303</v>
      </c>
    </row>
    <row r="659" spans="31:34">
      <c r="AE659" s="11">
        <v>42295</v>
      </c>
      <c r="AF659" s="12">
        <f t="shared" si="31"/>
        <v>1</v>
      </c>
      <c r="AG659" s="11">
        <f t="shared" si="32"/>
        <v>42299</v>
      </c>
      <c r="AH659" s="11">
        <f t="shared" si="33"/>
        <v>42303</v>
      </c>
    </row>
    <row r="660" spans="31:34">
      <c r="AE660" s="11">
        <v>42296</v>
      </c>
      <c r="AF660" s="12">
        <f t="shared" si="31"/>
        <v>2</v>
      </c>
      <c r="AG660" s="11">
        <f t="shared" si="32"/>
        <v>42300</v>
      </c>
      <c r="AH660" s="11">
        <f t="shared" si="33"/>
        <v>42304</v>
      </c>
    </row>
    <row r="661" spans="31:34">
      <c r="AE661" s="11">
        <v>42297</v>
      </c>
      <c r="AF661" s="12">
        <f t="shared" si="31"/>
        <v>3</v>
      </c>
      <c r="AG661" s="11">
        <f t="shared" si="32"/>
        <v>42303</v>
      </c>
      <c r="AH661" s="11">
        <f t="shared" si="33"/>
        <v>42305</v>
      </c>
    </row>
    <row r="662" spans="31:34">
      <c r="AE662" s="11">
        <v>42298</v>
      </c>
      <c r="AF662" s="12">
        <f t="shared" si="31"/>
        <v>4</v>
      </c>
      <c r="AG662" s="11">
        <f t="shared" si="32"/>
        <v>42303</v>
      </c>
      <c r="AH662" s="11">
        <f t="shared" si="33"/>
        <v>42305</v>
      </c>
    </row>
    <row r="663" spans="31:34">
      <c r="AE663" s="11">
        <v>42299</v>
      </c>
      <c r="AF663" s="12">
        <f t="shared" si="31"/>
        <v>5</v>
      </c>
      <c r="AG663" s="11">
        <f t="shared" si="32"/>
        <v>42304</v>
      </c>
      <c r="AH663" s="11">
        <f t="shared" si="33"/>
        <v>42306</v>
      </c>
    </row>
    <row r="664" spans="31:34">
      <c r="AE664" s="11">
        <v>42300</v>
      </c>
      <c r="AF664" s="12">
        <f t="shared" si="31"/>
        <v>6</v>
      </c>
      <c r="AG664" s="11">
        <f t="shared" si="32"/>
        <v>42305</v>
      </c>
      <c r="AH664" s="11">
        <f t="shared" si="33"/>
        <v>42307</v>
      </c>
    </row>
    <row r="665" spans="31:34">
      <c r="AE665" s="11">
        <v>42301</v>
      </c>
      <c r="AF665" s="12">
        <f t="shared" si="31"/>
        <v>7</v>
      </c>
      <c r="AG665" s="11">
        <f t="shared" si="32"/>
        <v>42306</v>
      </c>
      <c r="AH665" s="11">
        <f t="shared" si="33"/>
        <v>42310</v>
      </c>
    </row>
    <row r="666" spans="31:34">
      <c r="AE666" s="11">
        <v>42302</v>
      </c>
      <c r="AF666" s="12">
        <f t="shared" si="31"/>
        <v>1</v>
      </c>
      <c r="AG666" s="11">
        <f t="shared" si="32"/>
        <v>42306</v>
      </c>
      <c r="AH666" s="11">
        <f t="shared" si="33"/>
        <v>42310</v>
      </c>
    </row>
    <row r="667" spans="31:34">
      <c r="AE667" s="11">
        <v>42303</v>
      </c>
      <c r="AF667" s="12">
        <f t="shared" si="31"/>
        <v>2</v>
      </c>
      <c r="AG667" s="11">
        <f t="shared" si="32"/>
        <v>42307</v>
      </c>
      <c r="AH667" s="11">
        <f t="shared" si="33"/>
        <v>42311</v>
      </c>
    </row>
    <row r="668" spans="31:34">
      <c r="AE668" s="11">
        <v>42304</v>
      </c>
      <c r="AF668" s="12">
        <f t="shared" si="31"/>
        <v>3</v>
      </c>
      <c r="AG668" s="11">
        <f t="shared" si="32"/>
        <v>42310</v>
      </c>
      <c r="AH668" s="11">
        <f t="shared" si="33"/>
        <v>42312</v>
      </c>
    </row>
    <row r="669" spans="31:34">
      <c r="AE669" s="11">
        <v>42305</v>
      </c>
      <c r="AF669" s="12">
        <f t="shared" si="31"/>
        <v>4</v>
      </c>
      <c r="AG669" s="11">
        <f t="shared" si="32"/>
        <v>42310</v>
      </c>
      <c r="AH669" s="11">
        <f t="shared" si="33"/>
        <v>42312</v>
      </c>
    </row>
    <row r="670" spans="31:34">
      <c r="AE670" s="11">
        <v>42306</v>
      </c>
      <c r="AF670" s="12">
        <f t="shared" si="31"/>
        <v>5</v>
      </c>
      <c r="AG670" s="11">
        <f t="shared" si="32"/>
        <v>42311</v>
      </c>
      <c r="AH670" s="11">
        <f t="shared" si="33"/>
        <v>42313</v>
      </c>
    </row>
    <row r="671" spans="31:34">
      <c r="AE671" s="11">
        <v>42307</v>
      </c>
      <c r="AF671" s="12">
        <f t="shared" si="31"/>
        <v>6</v>
      </c>
      <c r="AG671" s="11">
        <f t="shared" si="32"/>
        <v>42312</v>
      </c>
      <c r="AH671" s="11">
        <f t="shared" si="33"/>
        <v>42314</v>
      </c>
    </row>
    <row r="672" spans="31:34">
      <c r="AE672" s="11">
        <v>42308</v>
      </c>
      <c r="AF672" s="12">
        <f t="shared" si="31"/>
        <v>7</v>
      </c>
      <c r="AG672" s="11">
        <f t="shared" si="32"/>
        <v>42313</v>
      </c>
      <c r="AH672" s="11">
        <f t="shared" si="33"/>
        <v>42317</v>
      </c>
    </row>
    <row r="673" spans="31:34">
      <c r="AE673" s="11">
        <v>42309</v>
      </c>
      <c r="AF673" s="12">
        <f t="shared" si="31"/>
        <v>1</v>
      </c>
      <c r="AG673" s="11">
        <f t="shared" si="32"/>
        <v>42313</v>
      </c>
      <c r="AH673" s="11">
        <f t="shared" si="33"/>
        <v>42317</v>
      </c>
    </row>
    <row r="674" spans="31:34">
      <c r="AE674" s="11">
        <v>42310</v>
      </c>
      <c r="AF674" s="12">
        <f t="shared" si="31"/>
        <v>2</v>
      </c>
      <c r="AG674" s="11">
        <f t="shared" si="32"/>
        <v>42314</v>
      </c>
      <c r="AH674" s="11">
        <f t="shared" si="33"/>
        <v>42318</v>
      </c>
    </row>
    <row r="675" spans="31:34">
      <c r="AE675" s="11">
        <v>42311</v>
      </c>
      <c r="AF675" s="12">
        <f t="shared" si="31"/>
        <v>3</v>
      </c>
      <c r="AG675" s="11">
        <f t="shared" si="32"/>
        <v>42317</v>
      </c>
      <c r="AH675" s="11">
        <f t="shared" si="33"/>
        <v>42320</v>
      </c>
    </row>
    <row r="676" spans="31:34">
      <c r="AE676" s="11">
        <v>42312</v>
      </c>
      <c r="AF676" s="12">
        <f t="shared" si="31"/>
        <v>4</v>
      </c>
      <c r="AG676" s="11">
        <f t="shared" si="32"/>
        <v>42317</v>
      </c>
      <c r="AH676" s="11">
        <f t="shared" si="33"/>
        <v>42320</v>
      </c>
    </row>
    <row r="677" spans="31:34">
      <c r="AE677" s="11">
        <v>42313</v>
      </c>
      <c r="AF677" s="12">
        <f t="shared" si="31"/>
        <v>5</v>
      </c>
      <c r="AG677" s="11">
        <f t="shared" si="32"/>
        <v>42318</v>
      </c>
      <c r="AH677" s="11">
        <f t="shared" si="33"/>
        <v>42321</v>
      </c>
    </row>
    <row r="678" spans="31:34">
      <c r="AE678" s="11">
        <v>42314</v>
      </c>
      <c r="AF678" s="12">
        <f t="shared" si="31"/>
        <v>6</v>
      </c>
      <c r="AG678" s="11">
        <v>42320</v>
      </c>
      <c r="AH678" s="11">
        <f t="shared" si="33"/>
        <v>42324</v>
      </c>
    </row>
    <row r="679" spans="31:34">
      <c r="AE679" s="11">
        <v>42315</v>
      </c>
      <c r="AF679" s="12">
        <f t="shared" si="31"/>
        <v>7</v>
      </c>
      <c r="AG679" s="11">
        <v>42321</v>
      </c>
      <c r="AH679" s="11">
        <f t="shared" si="33"/>
        <v>42325</v>
      </c>
    </row>
    <row r="680" spans="31:34">
      <c r="AE680" s="11">
        <v>42316</v>
      </c>
      <c r="AF680" s="12">
        <f t="shared" si="31"/>
        <v>1</v>
      </c>
      <c r="AG680" s="11">
        <v>42321</v>
      </c>
      <c r="AH680" s="11">
        <f t="shared" si="33"/>
        <v>42325</v>
      </c>
    </row>
    <row r="681" spans="31:34">
      <c r="AE681" s="11">
        <v>42317</v>
      </c>
      <c r="AF681" s="12">
        <f t="shared" si="31"/>
        <v>2</v>
      </c>
      <c r="AG681" s="11">
        <v>42324</v>
      </c>
      <c r="AH681" s="11">
        <f t="shared" si="33"/>
        <v>42326</v>
      </c>
    </row>
    <row r="682" spans="31:34">
      <c r="AE682" s="11">
        <v>42318</v>
      </c>
      <c r="AF682" s="12">
        <f t="shared" si="31"/>
        <v>3</v>
      </c>
      <c r="AG682" s="11">
        <f>AE682+(VLOOKUP(AF682, $AJ$4:$AK$10, 2, FALSE))</f>
        <v>42324</v>
      </c>
      <c r="AH682" s="11">
        <f t="shared" si="33"/>
        <v>42326</v>
      </c>
    </row>
    <row r="683" spans="31:34">
      <c r="AE683" s="11">
        <v>42319</v>
      </c>
      <c r="AF683" s="12">
        <f t="shared" si="31"/>
        <v>4</v>
      </c>
      <c r="AG683" s="11">
        <f t="shared" si="32"/>
        <v>42324</v>
      </c>
      <c r="AH683" s="11">
        <f t="shared" si="33"/>
        <v>42326</v>
      </c>
    </row>
    <row r="684" spans="31:34">
      <c r="AE684" s="11">
        <v>42320</v>
      </c>
      <c r="AF684" s="12">
        <f t="shared" si="31"/>
        <v>5</v>
      </c>
      <c r="AG684" s="11">
        <f t="shared" si="32"/>
        <v>42325</v>
      </c>
      <c r="AH684" s="11">
        <f t="shared" si="33"/>
        <v>42327</v>
      </c>
    </row>
    <row r="685" spans="31:34">
      <c r="AE685" s="11">
        <v>42321</v>
      </c>
      <c r="AF685" s="12">
        <f t="shared" si="31"/>
        <v>6</v>
      </c>
      <c r="AG685" s="11">
        <f t="shared" si="32"/>
        <v>42326</v>
      </c>
      <c r="AH685" s="11">
        <f t="shared" si="33"/>
        <v>42328</v>
      </c>
    </row>
    <row r="686" spans="31:34">
      <c r="AE686" s="11">
        <v>42322</v>
      </c>
      <c r="AF686" s="12">
        <f t="shared" si="31"/>
        <v>7</v>
      </c>
      <c r="AG686" s="11">
        <f t="shared" si="32"/>
        <v>42327</v>
      </c>
      <c r="AH686" s="11">
        <f t="shared" si="33"/>
        <v>42331</v>
      </c>
    </row>
    <row r="687" spans="31:34">
      <c r="AE687" s="11">
        <v>42323</v>
      </c>
      <c r="AF687" s="12">
        <f t="shared" si="31"/>
        <v>1</v>
      </c>
      <c r="AG687" s="11">
        <f t="shared" si="32"/>
        <v>42327</v>
      </c>
      <c r="AH687" s="11">
        <f t="shared" si="33"/>
        <v>42331</v>
      </c>
    </row>
    <row r="688" spans="31:34">
      <c r="AE688" s="11">
        <v>42324</v>
      </c>
      <c r="AF688" s="12">
        <f t="shared" si="31"/>
        <v>2</v>
      </c>
      <c r="AG688" s="11">
        <f t="shared" si="32"/>
        <v>42328</v>
      </c>
      <c r="AH688" s="11">
        <f t="shared" si="33"/>
        <v>42332</v>
      </c>
    </row>
    <row r="689" spans="31:34">
      <c r="AE689" s="11">
        <v>42325</v>
      </c>
      <c r="AF689" s="12">
        <f t="shared" si="31"/>
        <v>3</v>
      </c>
      <c r="AG689" s="11">
        <f t="shared" si="32"/>
        <v>42331</v>
      </c>
      <c r="AH689" s="11">
        <f t="shared" si="33"/>
        <v>42333</v>
      </c>
    </row>
    <row r="690" spans="31:34">
      <c r="AE690" s="11">
        <v>42326</v>
      </c>
      <c r="AF690" s="12">
        <f t="shared" si="31"/>
        <v>4</v>
      </c>
      <c r="AG690" s="11">
        <f t="shared" si="32"/>
        <v>42331</v>
      </c>
      <c r="AH690" s="11">
        <f t="shared" si="33"/>
        <v>42333</v>
      </c>
    </row>
    <row r="691" spans="31:34">
      <c r="AE691" s="11">
        <v>42327</v>
      </c>
      <c r="AF691" s="12">
        <f t="shared" si="31"/>
        <v>5</v>
      </c>
      <c r="AG691" s="11">
        <f t="shared" si="32"/>
        <v>42332</v>
      </c>
      <c r="AH691" s="11">
        <f t="shared" si="33"/>
        <v>42335</v>
      </c>
    </row>
    <row r="692" spans="31:34">
      <c r="AE692" s="11">
        <v>42328</v>
      </c>
      <c r="AF692" s="12">
        <f t="shared" si="31"/>
        <v>6</v>
      </c>
      <c r="AG692" s="11">
        <f t="shared" si="32"/>
        <v>42333</v>
      </c>
      <c r="AH692" s="11">
        <f t="shared" si="33"/>
        <v>42338</v>
      </c>
    </row>
    <row r="693" spans="31:34">
      <c r="AE693" s="11">
        <v>42329</v>
      </c>
      <c r="AF693" s="12">
        <f t="shared" si="31"/>
        <v>7</v>
      </c>
      <c r="AG693" s="11">
        <v>42335</v>
      </c>
      <c r="AH693" s="11">
        <f t="shared" si="33"/>
        <v>42339</v>
      </c>
    </row>
    <row r="694" spans="31:34">
      <c r="AE694" s="11">
        <v>42330</v>
      </c>
      <c r="AF694" s="12">
        <f t="shared" si="31"/>
        <v>1</v>
      </c>
      <c r="AG694" s="11">
        <v>42335</v>
      </c>
      <c r="AH694" s="11">
        <f t="shared" si="33"/>
        <v>42339</v>
      </c>
    </row>
    <row r="695" spans="31:34">
      <c r="AE695" s="11">
        <v>42331</v>
      </c>
      <c r="AF695" s="12">
        <f t="shared" si="31"/>
        <v>2</v>
      </c>
      <c r="AG695" s="11">
        <v>42338</v>
      </c>
      <c r="AH695" s="11">
        <f t="shared" si="33"/>
        <v>42340</v>
      </c>
    </row>
    <row r="696" spans="31:34">
      <c r="AE696" s="11">
        <v>42332</v>
      </c>
      <c r="AF696" s="12">
        <f t="shared" si="31"/>
        <v>3</v>
      </c>
      <c r="AG696" s="11">
        <f t="shared" si="32"/>
        <v>42338</v>
      </c>
      <c r="AH696" s="11">
        <f t="shared" si="33"/>
        <v>42340</v>
      </c>
    </row>
    <row r="697" spans="31:34">
      <c r="AE697" s="11">
        <v>42333</v>
      </c>
      <c r="AF697" s="12">
        <f t="shared" si="31"/>
        <v>4</v>
      </c>
      <c r="AG697" s="11">
        <v>42339</v>
      </c>
      <c r="AH697" s="11">
        <f t="shared" si="33"/>
        <v>42341</v>
      </c>
    </row>
    <row r="698" spans="31:34">
      <c r="AE698" s="11">
        <v>42334</v>
      </c>
      <c r="AF698" s="12">
        <f t="shared" si="31"/>
        <v>5</v>
      </c>
      <c r="AG698" s="11">
        <f t="shared" si="32"/>
        <v>42339</v>
      </c>
      <c r="AH698" s="11">
        <f t="shared" si="33"/>
        <v>42341</v>
      </c>
    </row>
    <row r="699" spans="31:34">
      <c r="AE699" s="11">
        <v>42335</v>
      </c>
      <c r="AF699" s="12">
        <f t="shared" si="31"/>
        <v>6</v>
      </c>
      <c r="AG699" s="11">
        <f t="shared" si="32"/>
        <v>42340</v>
      </c>
      <c r="AH699" s="11">
        <f t="shared" si="33"/>
        <v>42342</v>
      </c>
    </row>
    <row r="700" spans="31:34">
      <c r="AE700" s="11">
        <v>42336</v>
      </c>
      <c r="AF700" s="12">
        <f t="shared" si="31"/>
        <v>7</v>
      </c>
      <c r="AG700" s="11">
        <f t="shared" si="32"/>
        <v>42341</v>
      </c>
      <c r="AH700" s="11">
        <f t="shared" si="33"/>
        <v>42345</v>
      </c>
    </row>
    <row r="701" spans="31:34">
      <c r="AE701" s="11">
        <v>42337</v>
      </c>
      <c r="AF701" s="12">
        <f t="shared" si="31"/>
        <v>1</v>
      </c>
      <c r="AG701" s="11">
        <f t="shared" si="32"/>
        <v>42341</v>
      </c>
      <c r="AH701" s="11">
        <f t="shared" si="33"/>
        <v>42345</v>
      </c>
    </row>
    <row r="702" spans="31:34">
      <c r="AE702" s="11">
        <v>42338</v>
      </c>
      <c r="AF702" s="12">
        <f t="shared" si="31"/>
        <v>2</v>
      </c>
      <c r="AG702" s="11">
        <f t="shared" si="32"/>
        <v>42342</v>
      </c>
      <c r="AH702" s="11">
        <f t="shared" si="33"/>
        <v>42346</v>
      </c>
    </row>
    <row r="703" spans="31:34">
      <c r="AE703" s="11">
        <v>42339</v>
      </c>
      <c r="AF703" s="12">
        <f t="shared" si="31"/>
        <v>3</v>
      </c>
      <c r="AG703" s="11">
        <f t="shared" si="32"/>
        <v>42345</v>
      </c>
      <c r="AH703" s="11">
        <f t="shared" si="33"/>
        <v>42347</v>
      </c>
    </row>
    <row r="704" spans="31:34">
      <c r="AE704" s="11">
        <v>42340</v>
      </c>
      <c r="AF704" s="12">
        <f t="shared" si="31"/>
        <v>4</v>
      </c>
      <c r="AG704" s="11">
        <f t="shared" si="32"/>
        <v>42345</v>
      </c>
      <c r="AH704" s="11">
        <f t="shared" si="33"/>
        <v>42347</v>
      </c>
    </row>
    <row r="705" spans="31:34">
      <c r="AE705" s="11">
        <v>42341</v>
      </c>
      <c r="AF705" s="12">
        <f t="shared" si="31"/>
        <v>5</v>
      </c>
      <c r="AG705" s="11">
        <f t="shared" si="32"/>
        <v>42346</v>
      </c>
      <c r="AH705" s="11">
        <f t="shared" si="33"/>
        <v>42348</v>
      </c>
    </row>
    <row r="706" spans="31:34">
      <c r="AE706" s="11">
        <v>42342</v>
      </c>
      <c r="AF706" s="12">
        <f t="shared" si="31"/>
        <v>6</v>
      </c>
      <c r="AG706" s="11">
        <f t="shared" si="32"/>
        <v>42347</v>
      </c>
      <c r="AH706" s="11">
        <f t="shared" si="33"/>
        <v>42349</v>
      </c>
    </row>
    <row r="707" spans="31:34">
      <c r="AE707" s="11">
        <v>42343</v>
      </c>
      <c r="AF707" s="12">
        <f t="shared" si="31"/>
        <v>7</v>
      </c>
      <c r="AG707" s="11">
        <f t="shared" si="32"/>
        <v>42348</v>
      </c>
      <c r="AH707" s="11">
        <f t="shared" si="33"/>
        <v>42352</v>
      </c>
    </row>
    <row r="708" spans="31:34">
      <c r="AE708" s="11">
        <v>42344</v>
      </c>
      <c r="AF708" s="12">
        <f t="shared" si="31"/>
        <v>1</v>
      </c>
      <c r="AG708" s="11">
        <f t="shared" si="32"/>
        <v>42348</v>
      </c>
      <c r="AH708" s="11">
        <f t="shared" si="33"/>
        <v>42352</v>
      </c>
    </row>
    <row r="709" spans="31:34">
      <c r="AE709" s="11">
        <v>42345</v>
      </c>
      <c r="AF709" s="12">
        <f t="shared" ref="AF709:AF772" si="34">WEEKDAY(AE709)</f>
        <v>2</v>
      </c>
      <c r="AG709" s="11">
        <f t="shared" ref="AG709:AG731" si="35">AE709+(VLOOKUP(AF709, $AJ$4:$AK$10, 2, FALSE))</f>
        <v>42349</v>
      </c>
      <c r="AH709" s="11">
        <f t="shared" ref="AH709:AH772" si="36">IFERROR((WORKDAY(AG709, 2, AC$4:AC$53)), "")</f>
        <v>42353</v>
      </c>
    </row>
    <row r="710" spans="31:34">
      <c r="AE710" s="11">
        <v>42346</v>
      </c>
      <c r="AF710" s="12">
        <f t="shared" si="34"/>
        <v>3</v>
      </c>
      <c r="AG710" s="11">
        <f t="shared" si="35"/>
        <v>42352</v>
      </c>
      <c r="AH710" s="11">
        <f t="shared" si="36"/>
        <v>42354</v>
      </c>
    </row>
    <row r="711" spans="31:34">
      <c r="AE711" s="11">
        <v>42347</v>
      </c>
      <c r="AF711" s="12">
        <f t="shared" si="34"/>
        <v>4</v>
      </c>
      <c r="AG711" s="11">
        <f t="shared" si="35"/>
        <v>42352</v>
      </c>
      <c r="AH711" s="11">
        <f t="shared" si="36"/>
        <v>42354</v>
      </c>
    </row>
    <row r="712" spans="31:34">
      <c r="AE712" s="11">
        <v>42348</v>
      </c>
      <c r="AF712" s="12">
        <f t="shared" si="34"/>
        <v>5</v>
      </c>
      <c r="AG712" s="11">
        <f t="shared" si="35"/>
        <v>42353</v>
      </c>
      <c r="AH712" s="11">
        <f t="shared" si="36"/>
        <v>42355</v>
      </c>
    </row>
    <row r="713" spans="31:34">
      <c r="AE713" s="11">
        <v>42349</v>
      </c>
      <c r="AF713" s="12">
        <f t="shared" si="34"/>
        <v>6</v>
      </c>
      <c r="AG713" s="11">
        <f t="shared" si="35"/>
        <v>42354</v>
      </c>
      <c r="AH713" s="11">
        <f t="shared" si="36"/>
        <v>42356</v>
      </c>
    </row>
    <row r="714" spans="31:34">
      <c r="AE714" s="11">
        <v>42350</v>
      </c>
      <c r="AF714" s="12">
        <f t="shared" si="34"/>
        <v>7</v>
      </c>
      <c r="AG714" s="11">
        <f t="shared" si="35"/>
        <v>42355</v>
      </c>
      <c r="AH714" s="11">
        <f t="shared" si="36"/>
        <v>42359</v>
      </c>
    </row>
    <row r="715" spans="31:34">
      <c r="AE715" s="11">
        <v>42351</v>
      </c>
      <c r="AF715" s="12">
        <f t="shared" si="34"/>
        <v>1</v>
      </c>
      <c r="AG715" s="11">
        <f t="shared" si="35"/>
        <v>42355</v>
      </c>
      <c r="AH715" s="11">
        <f t="shared" si="36"/>
        <v>42359</v>
      </c>
    </row>
    <row r="716" spans="31:34">
      <c r="AE716" s="11">
        <v>42352</v>
      </c>
      <c r="AF716" s="12">
        <f t="shared" si="34"/>
        <v>2</v>
      </c>
      <c r="AG716" s="11">
        <f t="shared" si="35"/>
        <v>42356</v>
      </c>
      <c r="AH716" s="11">
        <f t="shared" si="36"/>
        <v>42360</v>
      </c>
    </row>
    <row r="717" spans="31:34">
      <c r="AE717" s="11">
        <v>42353</v>
      </c>
      <c r="AF717" s="12">
        <f t="shared" si="34"/>
        <v>3</v>
      </c>
      <c r="AG717" s="11">
        <f t="shared" si="35"/>
        <v>42359</v>
      </c>
      <c r="AH717" s="11">
        <f t="shared" si="36"/>
        <v>42361</v>
      </c>
    </row>
    <row r="718" spans="31:34">
      <c r="AE718" s="11">
        <v>42354</v>
      </c>
      <c r="AF718" s="12">
        <f t="shared" si="34"/>
        <v>4</v>
      </c>
      <c r="AG718" s="11">
        <f t="shared" si="35"/>
        <v>42359</v>
      </c>
      <c r="AH718" s="11">
        <f t="shared" si="36"/>
        <v>42361</v>
      </c>
    </row>
    <row r="719" spans="31:34">
      <c r="AE719" s="11">
        <v>42355</v>
      </c>
      <c r="AF719" s="12">
        <f t="shared" si="34"/>
        <v>5</v>
      </c>
      <c r="AG719" s="11">
        <f t="shared" si="35"/>
        <v>42360</v>
      </c>
      <c r="AH719" s="11">
        <f t="shared" si="36"/>
        <v>42362</v>
      </c>
    </row>
    <row r="720" spans="31:34">
      <c r="AE720" s="11">
        <v>42356</v>
      </c>
      <c r="AF720" s="12">
        <f t="shared" si="34"/>
        <v>6</v>
      </c>
      <c r="AG720" s="11">
        <f t="shared" si="35"/>
        <v>42361</v>
      </c>
      <c r="AH720" s="11">
        <f t="shared" si="36"/>
        <v>42366</v>
      </c>
    </row>
    <row r="721" spans="31:34">
      <c r="AE721" s="11">
        <v>42357</v>
      </c>
      <c r="AF721" s="12">
        <f t="shared" si="34"/>
        <v>7</v>
      </c>
      <c r="AG721" s="11">
        <f t="shared" si="35"/>
        <v>42362</v>
      </c>
      <c r="AH721" s="11">
        <f t="shared" si="36"/>
        <v>42367</v>
      </c>
    </row>
    <row r="722" spans="31:34">
      <c r="AE722" s="11">
        <v>42358</v>
      </c>
      <c r="AF722" s="12">
        <f t="shared" si="34"/>
        <v>1</v>
      </c>
      <c r="AG722" s="11">
        <f t="shared" si="35"/>
        <v>42362</v>
      </c>
      <c r="AH722" s="11">
        <f t="shared" si="36"/>
        <v>42367</v>
      </c>
    </row>
    <row r="723" spans="31:34">
      <c r="AE723" s="11">
        <v>42359</v>
      </c>
      <c r="AF723" s="12">
        <f t="shared" si="34"/>
        <v>2</v>
      </c>
      <c r="AG723" s="11">
        <v>42366</v>
      </c>
      <c r="AH723" s="11">
        <f t="shared" si="36"/>
        <v>42368</v>
      </c>
    </row>
    <row r="724" spans="31:34">
      <c r="AE724" s="11">
        <v>42360</v>
      </c>
      <c r="AF724" s="12">
        <f t="shared" si="34"/>
        <v>3</v>
      </c>
      <c r="AG724" s="11">
        <f t="shared" si="35"/>
        <v>42366</v>
      </c>
      <c r="AH724" s="11">
        <f t="shared" si="36"/>
        <v>42368</v>
      </c>
    </row>
    <row r="725" spans="31:34">
      <c r="AE725" s="11">
        <v>42361</v>
      </c>
      <c r="AF725" s="12">
        <f t="shared" si="34"/>
        <v>4</v>
      </c>
      <c r="AG725" s="11">
        <v>42367</v>
      </c>
      <c r="AH725" s="11">
        <f t="shared" si="36"/>
        <v>42369</v>
      </c>
    </row>
    <row r="726" spans="31:34">
      <c r="AE726" s="11">
        <v>42362</v>
      </c>
      <c r="AF726" s="12">
        <f t="shared" si="34"/>
        <v>5</v>
      </c>
      <c r="AG726" s="11">
        <v>42368</v>
      </c>
      <c r="AH726" s="11">
        <f t="shared" si="36"/>
        <v>42373</v>
      </c>
    </row>
    <row r="727" spans="31:34">
      <c r="AE727" s="11">
        <v>42363</v>
      </c>
      <c r="AF727" s="12">
        <f t="shared" si="34"/>
        <v>6</v>
      </c>
      <c r="AG727" s="11">
        <f t="shared" si="35"/>
        <v>42368</v>
      </c>
      <c r="AH727" s="11">
        <f t="shared" si="36"/>
        <v>42373</v>
      </c>
    </row>
    <row r="728" spans="31:34">
      <c r="AE728" s="11">
        <v>42364</v>
      </c>
      <c r="AF728" s="12">
        <f t="shared" si="34"/>
        <v>7</v>
      </c>
      <c r="AG728" s="11">
        <f t="shared" si="35"/>
        <v>42369</v>
      </c>
      <c r="AH728" s="11">
        <f t="shared" si="36"/>
        <v>42374</v>
      </c>
    </row>
    <row r="729" spans="31:34">
      <c r="AE729" s="11">
        <v>42365</v>
      </c>
      <c r="AF729" s="12">
        <f t="shared" si="34"/>
        <v>1</v>
      </c>
      <c r="AG729" s="11">
        <f t="shared" si="35"/>
        <v>42369</v>
      </c>
      <c r="AH729" s="11">
        <f t="shared" si="36"/>
        <v>42374</v>
      </c>
    </row>
    <row r="730" spans="31:34">
      <c r="AE730" s="11">
        <v>42366</v>
      </c>
      <c r="AF730" s="12">
        <f t="shared" si="34"/>
        <v>2</v>
      </c>
      <c r="AG730" s="11">
        <v>42373</v>
      </c>
      <c r="AH730" s="11">
        <f t="shared" si="36"/>
        <v>42375</v>
      </c>
    </row>
    <row r="731" spans="31:34">
      <c r="AE731" s="11">
        <v>42367</v>
      </c>
      <c r="AF731" s="12">
        <f t="shared" si="34"/>
        <v>3</v>
      </c>
      <c r="AG731" s="11">
        <f t="shared" si="35"/>
        <v>42373</v>
      </c>
      <c r="AH731" s="11">
        <f t="shared" si="36"/>
        <v>42375</v>
      </c>
    </row>
    <row r="732" spans="31:34">
      <c r="AE732" s="11">
        <v>42368</v>
      </c>
      <c r="AF732" s="12">
        <f t="shared" si="34"/>
        <v>4</v>
      </c>
      <c r="AG732" s="11">
        <v>42374</v>
      </c>
      <c r="AH732" s="11">
        <f t="shared" si="36"/>
        <v>42376</v>
      </c>
    </row>
    <row r="733" spans="31:34">
      <c r="AE733" s="11">
        <v>42369</v>
      </c>
      <c r="AF733" s="12">
        <f t="shared" si="34"/>
        <v>5</v>
      </c>
      <c r="AG733" s="11">
        <v>42375</v>
      </c>
      <c r="AH733" s="11">
        <f t="shared" si="36"/>
        <v>42377</v>
      </c>
    </row>
    <row r="734" spans="31:34">
      <c r="AE734" s="11">
        <v>42370</v>
      </c>
      <c r="AF734" s="12">
        <f t="shared" si="34"/>
        <v>6</v>
      </c>
      <c r="AG734" s="11">
        <f t="shared" ref="AG734:AG797" si="37">AE734+(VLOOKUP(AF734, $AJ$4:$AK$10, 2, FALSE))</f>
        <v>42375</v>
      </c>
      <c r="AH734" s="11">
        <f t="shared" si="36"/>
        <v>42377</v>
      </c>
    </row>
    <row r="735" spans="31:34">
      <c r="AE735" s="11">
        <v>42371</v>
      </c>
      <c r="AF735" s="12">
        <f t="shared" si="34"/>
        <v>7</v>
      </c>
      <c r="AG735" s="11">
        <f t="shared" si="37"/>
        <v>42376</v>
      </c>
      <c r="AH735" s="11">
        <f t="shared" si="36"/>
        <v>42380</v>
      </c>
    </row>
    <row r="736" spans="31:34">
      <c r="AE736" s="11">
        <v>42372</v>
      </c>
      <c r="AF736" s="12">
        <f t="shared" si="34"/>
        <v>1</v>
      </c>
      <c r="AG736" s="11">
        <f t="shared" si="37"/>
        <v>42376</v>
      </c>
      <c r="AH736" s="11">
        <f t="shared" si="36"/>
        <v>42380</v>
      </c>
    </row>
    <row r="737" spans="31:34">
      <c r="AE737" s="11">
        <v>42373</v>
      </c>
      <c r="AF737" s="12">
        <f t="shared" si="34"/>
        <v>2</v>
      </c>
      <c r="AG737" s="11">
        <f t="shared" si="37"/>
        <v>42377</v>
      </c>
      <c r="AH737" s="11">
        <f t="shared" si="36"/>
        <v>42381</v>
      </c>
    </row>
    <row r="738" spans="31:34">
      <c r="AE738" s="11">
        <v>42374</v>
      </c>
      <c r="AF738" s="12">
        <f t="shared" si="34"/>
        <v>3</v>
      </c>
      <c r="AG738" s="11">
        <f t="shared" si="37"/>
        <v>42380</v>
      </c>
      <c r="AH738" s="11">
        <f t="shared" si="36"/>
        <v>42382</v>
      </c>
    </row>
    <row r="739" spans="31:34">
      <c r="AE739" s="11">
        <v>42375</v>
      </c>
      <c r="AF739" s="12">
        <f t="shared" si="34"/>
        <v>4</v>
      </c>
      <c r="AG739" s="11">
        <f t="shared" si="37"/>
        <v>42380</v>
      </c>
      <c r="AH739" s="11">
        <f t="shared" si="36"/>
        <v>42382</v>
      </c>
    </row>
    <row r="740" spans="31:34">
      <c r="AE740" s="11">
        <v>42376</v>
      </c>
      <c r="AF740" s="12">
        <f t="shared" si="34"/>
        <v>5</v>
      </c>
      <c r="AG740" s="11">
        <f t="shared" si="37"/>
        <v>42381</v>
      </c>
      <c r="AH740" s="11">
        <f t="shared" si="36"/>
        <v>42383</v>
      </c>
    </row>
    <row r="741" spans="31:34">
      <c r="AE741" s="11">
        <v>42377</v>
      </c>
      <c r="AF741" s="12">
        <f t="shared" si="34"/>
        <v>6</v>
      </c>
      <c r="AG741" s="11">
        <f t="shared" si="37"/>
        <v>42382</v>
      </c>
      <c r="AH741" s="11">
        <f t="shared" si="36"/>
        <v>42384</v>
      </c>
    </row>
    <row r="742" spans="31:34">
      <c r="AE742" s="11">
        <v>42378</v>
      </c>
      <c r="AF742" s="12">
        <f t="shared" si="34"/>
        <v>7</v>
      </c>
      <c r="AG742" s="11">
        <f t="shared" si="37"/>
        <v>42383</v>
      </c>
      <c r="AH742" s="11">
        <f t="shared" si="36"/>
        <v>42388</v>
      </c>
    </row>
    <row r="743" spans="31:34">
      <c r="AE743" s="11">
        <v>42379</v>
      </c>
      <c r="AF743" s="12">
        <f t="shared" si="34"/>
        <v>1</v>
      </c>
      <c r="AG743" s="11">
        <f t="shared" si="37"/>
        <v>42383</v>
      </c>
      <c r="AH743" s="11">
        <f t="shared" si="36"/>
        <v>42388</v>
      </c>
    </row>
    <row r="744" spans="31:34">
      <c r="AE744" s="11">
        <v>42380</v>
      </c>
      <c r="AF744" s="12">
        <f t="shared" si="34"/>
        <v>2</v>
      </c>
      <c r="AG744" s="11">
        <f t="shared" si="37"/>
        <v>42384</v>
      </c>
      <c r="AH744" s="11">
        <f t="shared" si="36"/>
        <v>42389</v>
      </c>
    </row>
    <row r="745" spans="31:34">
      <c r="AE745" s="11">
        <v>42381</v>
      </c>
      <c r="AF745" s="12">
        <f t="shared" si="34"/>
        <v>3</v>
      </c>
      <c r="AG745" s="11">
        <v>42388</v>
      </c>
      <c r="AH745" s="11">
        <f t="shared" si="36"/>
        <v>42390</v>
      </c>
    </row>
    <row r="746" spans="31:34">
      <c r="AE746" s="11">
        <v>42382</v>
      </c>
      <c r="AF746" s="12">
        <f t="shared" si="34"/>
        <v>4</v>
      </c>
      <c r="AG746" s="11">
        <v>42388</v>
      </c>
      <c r="AH746" s="11">
        <f t="shared" si="36"/>
        <v>42390</v>
      </c>
    </row>
    <row r="747" spans="31:34">
      <c r="AE747" s="11">
        <v>42383</v>
      </c>
      <c r="AF747" s="12">
        <f t="shared" si="34"/>
        <v>5</v>
      </c>
      <c r="AG747" s="11">
        <v>42389</v>
      </c>
      <c r="AH747" s="11">
        <f t="shared" si="36"/>
        <v>42391</v>
      </c>
    </row>
    <row r="748" spans="31:34">
      <c r="AE748" s="11">
        <v>42384</v>
      </c>
      <c r="AF748" s="12">
        <f t="shared" si="34"/>
        <v>6</v>
      </c>
      <c r="AG748" s="11">
        <v>42390</v>
      </c>
      <c r="AH748" s="11">
        <f t="shared" si="36"/>
        <v>42394</v>
      </c>
    </row>
    <row r="749" spans="31:34">
      <c r="AE749" s="11">
        <v>42385</v>
      </c>
      <c r="AF749" s="12">
        <f t="shared" si="34"/>
        <v>7</v>
      </c>
      <c r="AG749" s="11">
        <v>42391</v>
      </c>
      <c r="AH749" s="11">
        <f t="shared" si="36"/>
        <v>42395</v>
      </c>
    </row>
    <row r="750" spans="31:34">
      <c r="AE750" s="11">
        <v>42386</v>
      </c>
      <c r="AF750" s="12">
        <f t="shared" si="34"/>
        <v>1</v>
      </c>
      <c r="AG750" s="11">
        <v>42391</v>
      </c>
      <c r="AH750" s="11">
        <f t="shared" si="36"/>
        <v>42395</v>
      </c>
    </row>
    <row r="751" spans="31:34">
      <c r="AE751" s="11">
        <v>42387</v>
      </c>
      <c r="AF751" s="12">
        <f t="shared" si="34"/>
        <v>2</v>
      </c>
      <c r="AG751" s="11">
        <f t="shared" si="37"/>
        <v>42391</v>
      </c>
      <c r="AH751" s="11">
        <f t="shared" si="36"/>
        <v>42395</v>
      </c>
    </row>
    <row r="752" spans="31:34">
      <c r="AE752" s="11">
        <v>42388</v>
      </c>
      <c r="AF752" s="12">
        <f t="shared" si="34"/>
        <v>3</v>
      </c>
      <c r="AG752" s="11">
        <f t="shared" si="37"/>
        <v>42394</v>
      </c>
      <c r="AH752" s="11">
        <f t="shared" si="36"/>
        <v>42396</v>
      </c>
    </row>
    <row r="753" spans="31:34">
      <c r="AE753" s="11">
        <v>42389</v>
      </c>
      <c r="AF753" s="12">
        <f t="shared" si="34"/>
        <v>4</v>
      </c>
      <c r="AG753" s="11">
        <f t="shared" si="37"/>
        <v>42394</v>
      </c>
      <c r="AH753" s="11">
        <f t="shared" si="36"/>
        <v>42396</v>
      </c>
    </row>
    <row r="754" spans="31:34">
      <c r="AE754" s="11">
        <v>42390</v>
      </c>
      <c r="AF754" s="12">
        <f t="shared" si="34"/>
        <v>5</v>
      </c>
      <c r="AG754" s="11">
        <f t="shared" si="37"/>
        <v>42395</v>
      </c>
      <c r="AH754" s="11">
        <f t="shared" si="36"/>
        <v>42397</v>
      </c>
    </row>
    <row r="755" spans="31:34">
      <c r="AE755" s="11">
        <v>42391</v>
      </c>
      <c r="AF755" s="12">
        <f t="shared" si="34"/>
        <v>6</v>
      </c>
      <c r="AG755" s="11">
        <f t="shared" si="37"/>
        <v>42396</v>
      </c>
      <c r="AH755" s="11">
        <f t="shared" si="36"/>
        <v>42398</v>
      </c>
    </row>
    <row r="756" spans="31:34">
      <c r="AE756" s="11">
        <v>42392</v>
      </c>
      <c r="AF756" s="12">
        <f t="shared" si="34"/>
        <v>7</v>
      </c>
      <c r="AG756" s="11">
        <f t="shared" si="37"/>
        <v>42397</v>
      </c>
      <c r="AH756" s="11">
        <f t="shared" si="36"/>
        <v>42401</v>
      </c>
    </row>
    <row r="757" spans="31:34">
      <c r="AE757" s="11">
        <v>42393</v>
      </c>
      <c r="AF757" s="12">
        <f t="shared" si="34"/>
        <v>1</v>
      </c>
      <c r="AG757" s="11">
        <f t="shared" si="37"/>
        <v>42397</v>
      </c>
      <c r="AH757" s="11">
        <f t="shared" si="36"/>
        <v>42401</v>
      </c>
    </row>
    <row r="758" spans="31:34">
      <c r="AE758" s="11">
        <v>42394</v>
      </c>
      <c r="AF758" s="12">
        <f t="shared" si="34"/>
        <v>2</v>
      </c>
      <c r="AG758" s="11">
        <f t="shared" si="37"/>
        <v>42398</v>
      </c>
      <c r="AH758" s="11">
        <f t="shared" si="36"/>
        <v>42402</v>
      </c>
    </row>
    <row r="759" spans="31:34">
      <c r="AE759" s="11">
        <v>42395</v>
      </c>
      <c r="AF759" s="12">
        <f t="shared" si="34"/>
        <v>3</v>
      </c>
      <c r="AG759" s="11">
        <f t="shared" si="37"/>
        <v>42401</v>
      </c>
      <c r="AH759" s="11">
        <f t="shared" si="36"/>
        <v>42403</v>
      </c>
    </row>
    <row r="760" spans="31:34">
      <c r="AE760" s="11">
        <v>42396</v>
      </c>
      <c r="AF760" s="12">
        <f t="shared" si="34"/>
        <v>4</v>
      </c>
      <c r="AG760" s="11">
        <f t="shared" si="37"/>
        <v>42401</v>
      </c>
      <c r="AH760" s="11">
        <f t="shared" si="36"/>
        <v>42403</v>
      </c>
    </row>
    <row r="761" spans="31:34">
      <c r="AE761" s="11">
        <v>42397</v>
      </c>
      <c r="AF761" s="12">
        <f t="shared" si="34"/>
        <v>5</v>
      </c>
      <c r="AG761" s="11">
        <f t="shared" si="37"/>
        <v>42402</v>
      </c>
      <c r="AH761" s="11">
        <f t="shared" si="36"/>
        <v>42404</v>
      </c>
    </row>
    <row r="762" spans="31:34">
      <c r="AE762" s="11">
        <v>42398</v>
      </c>
      <c r="AF762" s="12">
        <f t="shared" si="34"/>
        <v>6</v>
      </c>
      <c r="AG762" s="11">
        <f t="shared" si="37"/>
        <v>42403</v>
      </c>
      <c r="AH762" s="11">
        <f t="shared" si="36"/>
        <v>42405</v>
      </c>
    </row>
    <row r="763" spans="31:34">
      <c r="AE763" s="11">
        <v>42399</v>
      </c>
      <c r="AF763" s="12">
        <f t="shared" si="34"/>
        <v>7</v>
      </c>
      <c r="AG763" s="11">
        <f t="shared" si="37"/>
        <v>42404</v>
      </c>
      <c r="AH763" s="11">
        <f t="shared" si="36"/>
        <v>42408</v>
      </c>
    </row>
    <row r="764" spans="31:34">
      <c r="AE764" s="11">
        <v>42400</v>
      </c>
      <c r="AF764" s="12">
        <f t="shared" si="34"/>
        <v>1</v>
      </c>
      <c r="AG764" s="11">
        <f t="shared" si="37"/>
        <v>42404</v>
      </c>
      <c r="AH764" s="11">
        <f t="shared" si="36"/>
        <v>42408</v>
      </c>
    </row>
    <row r="765" spans="31:34">
      <c r="AE765" s="11">
        <v>42401</v>
      </c>
      <c r="AF765" s="12">
        <f t="shared" si="34"/>
        <v>2</v>
      </c>
      <c r="AG765" s="11">
        <f t="shared" si="37"/>
        <v>42405</v>
      </c>
      <c r="AH765" s="11">
        <f t="shared" si="36"/>
        <v>42409</v>
      </c>
    </row>
    <row r="766" spans="31:34">
      <c r="AE766" s="11">
        <v>42402</v>
      </c>
      <c r="AF766" s="12">
        <f t="shared" si="34"/>
        <v>3</v>
      </c>
      <c r="AG766" s="11">
        <f t="shared" si="37"/>
        <v>42408</v>
      </c>
      <c r="AH766" s="11">
        <f t="shared" si="36"/>
        <v>42410</v>
      </c>
    </row>
    <row r="767" spans="31:34">
      <c r="AE767" s="11">
        <v>42403</v>
      </c>
      <c r="AF767" s="12">
        <f t="shared" si="34"/>
        <v>4</v>
      </c>
      <c r="AG767" s="11">
        <f t="shared" si="37"/>
        <v>42408</v>
      </c>
      <c r="AH767" s="11">
        <f t="shared" si="36"/>
        <v>42410</v>
      </c>
    </row>
    <row r="768" spans="31:34">
      <c r="AE768" s="11">
        <v>42404</v>
      </c>
      <c r="AF768" s="12">
        <f t="shared" si="34"/>
        <v>5</v>
      </c>
      <c r="AG768" s="11">
        <f t="shared" si="37"/>
        <v>42409</v>
      </c>
      <c r="AH768" s="11">
        <f t="shared" si="36"/>
        <v>42411</v>
      </c>
    </row>
    <row r="769" spans="31:34">
      <c r="AE769" s="11">
        <v>42405</v>
      </c>
      <c r="AF769" s="12">
        <f t="shared" si="34"/>
        <v>6</v>
      </c>
      <c r="AG769" s="11">
        <f t="shared" si="37"/>
        <v>42410</v>
      </c>
      <c r="AH769" s="11">
        <f t="shared" si="36"/>
        <v>42412</v>
      </c>
    </row>
    <row r="770" spans="31:34">
      <c r="AE770" s="11">
        <v>42406</v>
      </c>
      <c r="AF770" s="12">
        <f t="shared" si="34"/>
        <v>7</v>
      </c>
      <c r="AG770" s="11">
        <f t="shared" si="37"/>
        <v>42411</v>
      </c>
      <c r="AH770" s="11">
        <f t="shared" si="36"/>
        <v>42416</v>
      </c>
    </row>
    <row r="771" spans="31:34">
      <c r="AE771" s="11">
        <v>42407</v>
      </c>
      <c r="AF771" s="12">
        <f t="shared" si="34"/>
        <v>1</v>
      </c>
      <c r="AG771" s="11">
        <f t="shared" si="37"/>
        <v>42411</v>
      </c>
      <c r="AH771" s="11">
        <f t="shared" si="36"/>
        <v>42416</v>
      </c>
    </row>
    <row r="772" spans="31:34">
      <c r="AE772" s="11">
        <v>42408</v>
      </c>
      <c r="AF772" s="12">
        <f t="shared" si="34"/>
        <v>2</v>
      </c>
      <c r="AG772" s="11">
        <f t="shared" si="37"/>
        <v>42412</v>
      </c>
      <c r="AH772" s="11">
        <f t="shared" si="36"/>
        <v>42417</v>
      </c>
    </row>
    <row r="773" spans="31:34">
      <c r="AE773" s="11">
        <v>42409</v>
      </c>
      <c r="AF773" s="12">
        <f t="shared" ref="AF773:AF836" si="38">WEEKDAY(AE773)</f>
        <v>3</v>
      </c>
      <c r="AG773" s="11">
        <v>42416</v>
      </c>
      <c r="AH773" s="11">
        <f t="shared" ref="AH773:AH836" si="39">IFERROR((WORKDAY(AG773, 2, AC$4:AC$53)), "")</f>
        <v>42418</v>
      </c>
    </row>
    <row r="774" spans="31:34">
      <c r="AE774" s="11">
        <v>42410</v>
      </c>
      <c r="AF774" s="12">
        <f t="shared" si="38"/>
        <v>4</v>
      </c>
      <c r="AG774" s="11">
        <v>42416</v>
      </c>
      <c r="AH774" s="11">
        <f t="shared" si="39"/>
        <v>42418</v>
      </c>
    </row>
    <row r="775" spans="31:34">
      <c r="AE775" s="11">
        <v>42411</v>
      </c>
      <c r="AF775" s="12">
        <f t="shared" si="38"/>
        <v>5</v>
      </c>
      <c r="AG775" s="11">
        <v>42417</v>
      </c>
      <c r="AH775" s="11">
        <f t="shared" si="39"/>
        <v>42419</v>
      </c>
    </row>
    <row r="776" spans="31:34">
      <c r="AE776" s="11">
        <v>42412</v>
      </c>
      <c r="AF776" s="12">
        <f t="shared" si="38"/>
        <v>6</v>
      </c>
      <c r="AG776" s="11">
        <v>42418</v>
      </c>
      <c r="AH776" s="11">
        <f t="shared" si="39"/>
        <v>42422</v>
      </c>
    </row>
    <row r="777" spans="31:34">
      <c r="AE777" s="11">
        <v>42413</v>
      </c>
      <c r="AF777" s="12">
        <f t="shared" si="38"/>
        <v>7</v>
      </c>
      <c r="AG777" s="11">
        <v>42419</v>
      </c>
      <c r="AH777" s="11">
        <f t="shared" si="39"/>
        <v>42423</v>
      </c>
    </row>
    <row r="778" spans="31:34">
      <c r="AE778" s="11">
        <v>42414</v>
      </c>
      <c r="AF778" s="12">
        <f t="shared" si="38"/>
        <v>1</v>
      </c>
      <c r="AG778" s="11">
        <v>42419</v>
      </c>
      <c r="AH778" s="11">
        <f t="shared" si="39"/>
        <v>42423</v>
      </c>
    </row>
    <row r="779" spans="31:34">
      <c r="AE779" s="11">
        <v>42415</v>
      </c>
      <c r="AF779" s="12">
        <f t="shared" si="38"/>
        <v>2</v>
      </c>
      <c r="AG779" s="11">
        <f t="shared" si="37"/>
        <v>42419</v>
      </c>
      <c r="AH779" s="11">
        <f t="shared" si="39"/>
        <v>42423</v>
      </c>
    </row>
    <row r="780" spans="31:34">
      <c r="AE780" s="11">
        <v>42416</v>
      </c>
      <c r="AF780" s="12">
        <f t="shared" si="38"/>
        <v>3</v>
      </c>
      <c r="AG780" s="11">
        <f t="shared" si="37"/>
        <v>42422</v>
      </c>
      <c r="AH780" s="11">
        <f t="shared" si="39"/>
        <v>42424</v>
      </c>
    </row>
    <row r="781" spans="31:34">
      <c r="AE781" s="11">
        <v>42417</v>
      </c>
      <c r="AF781" s="12">
        <f t="shared" si="38"/>
        <v>4</v>
      </c>
      <c r="AG781" s="11">
        <f t="shared" si="37"/>
        <v>42422</v>
      </c>
      <c r="AH781" s="11">
        <f t="shared" si="39"/>
        <v>42424</v>
      </c>
    </row>
    <row r="782" spans="31:34">
      <c r="AE782" s="11">
        <v>42418</v>
      </c>
      <c r="AF782" s="12">
        <f t="shared" si="38"/>
        <v>5</v>
      </c>
      <c r="AG782" s="11">
        <f t="shared" si="37"/>
        <v>42423</v>
      </c>
      <c r="AH782" s="11">
        <f t="shared" si="39"/>
        <v>42425</v>
      </c>
    </row>
    <row r="783" spans="31:34">
      <c r="AE783" s="11">
        <v>42419</v>
      </c>
      <c r="AF783" s="12">
        <f t="shared" si="38"/>
        <v>6</v>
      </c>
      <c r="AG783" s="11">
        <f t="shared" si="37"/>
        <v>42424</v>
      </c>
      <c r="AH783" s="11">
        <f t="shared" si="39"/>
        <v>42426</v>
      </c>
    </row>
    <row r="784" spans="31:34">
      <c r="AE784" s="11">
        <v>42420</v>
      </c>
      <c r="AF784" s="12">
        <f t="shared" si="38"/>
        <v>7</v>
      </c>
      <c r="AG784" s="11">
        <f t="shared" si="37"/>
        <v>42425</v>
      </c>
      <c r="AH784" s="11">
        <f t="shared" si="39"/>
        <v>42429</v>
      </c>
    </row>
    <row r="785" spans="31:34">
      <c r="AE785" s="11">
        <v>42421</v>
      </c>
      <c r="AF785" s="12">
        <f t="shared" si="38"/>
        <v>1</v>
      </c>
      <c r="AG785" s="11">
        <f t="shared" si="37"/>
        <v>42425</v>
      </c>
      <c r="AH785" s="11">
        <f t="shared" si="39"/>
        <v>42429</v>
      </c>
    </row>
    <row r="786" spans="31:34">
      <c r="AE786" s="11">
        <v>42422</v>
      </c>
      <c r="AF786" s="12">
        <f t="shared" si="38"/>
        <v>2</v>
      </c>
      <c r="AG786" s="11">
        <f t="shared" si="37"/>
        <v>42426</v>
      </c>
      <c r="AH786" s="11">
        <f t="shared" si="39"/>
        <v>42430</v>
      </c>
    </row>
    <row r="787" spans="31:34">
      <c r="AE787" s="11">
        <v>42423</v>
      </c>
      <c r="AF787" s="12">
        <f t="shared" si="38"/>
        <v>3</v>
      </c>
      <c r="AG787" s="11">
        <f t="shared" si="37"/>
        <v>42429</v>
      </c>
      <c r="AH787" s="11">
        <f t="shared" si="39"/>
        <v>42431</v>
      </c>
    </row>
    <row r="788" spans="31:34">
      <c r="AE788" s="11">
        <v>42424</v>
      </c>
      <c r="AF788" s="12">
        <f t="shared" si="38"/>
        <v>4</v>
      </c>
      <c r="AG788" s="11">
        <f t="shared" si="37"/>
        <v>42429</v>
      </c>
      <c r="AH788" s="11">
        <f t="shared" si="39"/>
        <v>42431</v>
      </c>
    </row>
    <row r="789" spans="31:34">
      <c r="AE789" s="11">
        <v>42425</v>
      </c>
      <c r="AF789" s="12">
        <f t="shared" si="38"/>
        <v>5</v>
      </c>
      <c r="AG789" s="11">
        <f t="shared" si="37"/>
        <v>42430</v>
      </c>
      <c r="AH789" s="11">
        <f t="shared" si="39"/>
        <v>42432</v>
      </c>
    </row>
    <row r="790" spans="31:34">
      <c r="AE790" s="11">
        <v>42426</v>
      </c>
      <c r="AF790" s="12">
        <f t="shared" si="38"/>
        <v>6</v>
      </c>
      <c r="AG790" s="11">
        <f t="shared" si="37"/>
        <v>42431</v>
      </c>
      <c r="AH790" s="11">
        <f t="shared" si="39"/>
        <v>42433</v>
      </c>
    </row>
    <row r="791" spans="31:34">
      <c r="AE791" s="11">
        <v>42427</v>
      </c>
      <c r="AF791" s="12">
        <f t="shared" si="38"/>
        <v>7</v>
      </c>
      <c r="AG791" s="11">
        <f t="shared" si="37"/>
        <v>42432</v>
      </c>
      <c r="AH791" s="11">
        <f t="shared" si="39"/>
        <v>42436</v>
      </c>
    </row>
    <row r="792" spans="31:34">
      <c r="AE792" s="11">
        <v>42428</v>
      </c>
      <c r="AF792" s="12">
        <f t="shared" si="38"/>
        <v>1</v>
      </c>
      <c r="AG792" s="11">
        <f t="shared" si="37"/>
        <v>42432</v>
      </c>
      <c r="AH792" s="11">
        <f t="shared" si="39"/>
        <v>42436</v>
      </c>
    </row>
    <row r="793" spans="31:34">
      <c r="AE793" s="11">
        <v>42429</v>
      </c>
      <c r="AF793" s="12">
        <f t="shared" si="38"/>
        <v>2</v>
      </c>
      <c r="AG793" s="11">
        <f t="shared" si="37"/>
        <v>42433</v>
      </c>
      <c r="AH793" s="11">
        <f t="shared" si="39"/>
        <v>42437</v>
      </c>
    </row>
    <row r="794" spans="31:34">
      <c r="AE794" s="11">
        <v>42430</v>
      </c>
      <c r="AF794" s="12">
        <f t="shared" si="38"/>
        <v>3</v>
      </c>
      <c r="AG794" s="11">
        <f t="shared" si="37"/>
        <v>42436</v>
      </c>
      <c r="AH794" s="11">
        <f t="shared" si="39"/>
        <v>42438</v>
      </c>
    </row>
    <row r="795" spans="31:34">
      <c r="AE795" s="11">
        <v>42431</v>
      </c>
      <c r="AF795" s="12">
        <f t="shared" si="38"/>
        <v>4</v>
      </c>
      <c r="AG795" s="11">
        <f t="shared" si="37"/>
        <v>42436</v>
      </c>
      <c r="AH795" s="11">
        <f t="shared" si="39"/>
        <v>42438</v>
      </c>
    </row>
    <row r="796" spans="31:34">
      <c r="AE796" s="11">
        <v>42432</v>
      </c>
      <c r="AF796" s="12">
        <f t="shared" si="38"/>
        <v>5</v>
      </c>
      <c r="AG796" s="11">
        <f t="shared" si="37"/>
        <v>42437</v>
      </c>
      <c r="AH796" s="11">
        <f t="shared" si="39"/>
        <v>42439</v>
      </c>
    </row>
    <row r="797" spans="31:34">
      <c r="AE797" s="11">
        <v>42433</v>
      </c>
      <c r="AF797" s="12">
        <f t="shared" si="38"/>
        <v>6</v>
      </c>
      <c r="AG797" s="11">
        <f t="shared" si="37"/>
        <v>42438</v>
      </c>
      <c r="AH797" s="11">
        <f t="shared" si="39"/>
        <v>42440</v>
      </c>
    </row>
    <row r="798" spans="31:34">
      <c r="AE798" s="11">
        <v>42434</v>
      </c>
      <c r="AF798" s="12">
        <f t="shared" si="38"/>
        <v>7</v>
      </c>
      <c r="AG798" s="11">
        <f t="shared" ref="AG798:AG861" si="40">AE798+(VLOOKUP(AF798, $AJ$4:$AK$10, 2, FALSE))</f>
        <v>42439</v>
      </c>
      <c r="AH798" s="11">
        <f t="shared" si="39"/>
        <v>42443</v>
      </c>
    </row>
    <row r="799" spans="31:34">
      <c r="AE799" s="11">
        <v>42435</v>
      </c>
      <c r="AF799" s="12">
        <f t="shared" si="38"/>
        <v>1</v>
      </c>
      <c r="AG799" s="11">
        <f t="shared" si="40"/>
        <v>42439</v>
      </c>
      <c r="AH799" s="11">
        <f t="shared" si="39"/>
        <v>42443</v>
      </c>
    </row>
    <row r="800" spans="31:34">
      <c r="AE800" s="11">
        <v>42436</v>
      </c>
      <c r="AF800" s="12">
        <f t="shared" si="38"/>
        <v>2</v>
      </c>
      <c r="AG800" s="11">
        <f t="shared" si="40"/>
        <v>42440</v>
      </c>
      <c r="AH800" s="11">
        <f t="shared" si="39"/>
        <v>42444</v>
      </c>
    </row>
    <row r="801" spans="31:34">
      <c r="AE801" s="11">
        <v>42437</v>
      </c>
      <c r="AF801" s="12">
        <f t="shared" si="38"/>
        <v>3</v>
      </c>
      <c r="AG801" s="11">
        <f t="shared" si="40"/>
        <v>42443</v>
      </c>
      <c r="AH801" s="11">
        <f t="shared" si="39"/>
        <v>42445</v>
      </c>
    </row>
    <row r="802" spans="31:34">
      <c r="AE802" s="11">
        <v>42438</v>
      </c>
      <c r="AF802" s="12">
        <f t="shared" si="38"/>
        <v>4</v>
      </c>
      <c r="AG802" s="11">
        <f t="shared" si="40"/>
        <v>42443</v>
      </c>
      <c r="AH802" s="11">
        <f t="shared" si="39"/>
        <v>42445</v>
      </c>
    </row>
    <row r="803" spans="31:34">
      <c r="AE803" s="11">
        <v>42439</v>
      </c>
      <c r="AF803" s="12">
        <f t="shared" si="38"/>
        <v>5</v>
      </c>
      <c r="AG803" s="11">
        <f t="shared" si="40"/>
        <v>42444</v>
      </c>
      <c r="AH803" s="11">
        <f t="shared" si="39"/>
        <v>42446</v>
      </c>
    </row>
    <row r="804" spans="31:34">
      <c r="AE804" s="11">
        <v>42440</v>
      </c>
      <c r="AF804" s="12">
        <f t="shared" si="38"/>
        <v>6</v>
      </c>
      <c r="AG804" s="11">
        <f t="shared" si="40"/>
        <v>42445</v>
      </c>
      <c r="AH804" s="11">
        <f t="shared" si="39"/>
        <v>42447</v>
      </c>
    </row>
    <row r="805" spans="31:34">
      <c r="AE805" s="11">
        <v>42441</v>
      </c>
      <c r="AF805" s="12">
        <f t="shared" si="38"/>
        <v>7</v>
      </c>
      <c r="AG805" s="11">
        <f t="shared" si="40"/>
        <v>42446</v>
      </c>
      <c r="AH805" s="11">
        <f t="shared" si="39"/>
        <v>42450</v>
      </c>
    </row>
    <row r="806" spans="31:34">
      <c r="AE806" s="11">
        <v>42442</v>
      </c>
      <c r="AF806" s="12">
        <f t="shared" si="38"/>
        <v>1</v>
      </c>
      <c r="AG806" s="11">
        <f t="shared" si="40"/>
        <v>42446</v>
      </c>
      <c r="AH806" s="11">
        <f t="shared" si="39"/>
        <v>42450</v>
      </c>
    </row>
    <row r="807" spans="31:34">
      <c r="AE807" s="11">
        <v>42443</v>
      </c>
      <c r="AF807" s="12">
        <f t="shared" si="38"/>
        <v>2</v>
      </c>
      <c r="AG807" s="11">
        <f t="shared" si="40"/>
        <v>42447</v>
      </c>
      <c r="AH807" s="11">
        <f t="shared" si="39"/>
        <v>42451</v>
      </c>
    </row>
    <row r="808" spans="31:34">
      <c r="AE808" s="11">
        <v>42444</v>
      </c>
      <c r="AF808" s="12">
        <f t="shared" si="38"/>
        <v>3</v>
      </c>
      <c r="AG808" s="11">
        <f t="shared" si="40"/>
        <v>42450</v>
      </c>
      <c r="AH808" s="11">
        <f t="shared" si="39"/>
        <v>42452</v>
      </c>
    </row>
    <row r="809" spans="31:34">
      <c r="AE809" s="11">
        <v>42445</v>
      </c>
      <c r="AF809" s="12">
        <f t="shared" si="38"/>
        <v>4</v>
      </c>
      <c r="AG809" s="11">
        <f t="shared" si="40"/>
        <v>42450</v>
      </c>
      <c r="AH809" s="11">
        <f t="shared" si="39"/>
        <v>42452</v>
      </c>
    </row>
    <row r="810" spans="31:34">
      <c r="AE810" s="11">
        <v>42446</v>
      </c>
      <c r="AF810" s="12">
        <f t="shared" si="38"/>
        <v>5</v>
      </c>
      <c r="AG810" s="11">
        <f t="shared" si="40"/>
        <v>42451</v>
      </c>
      <c r="AH810" s="11">
        <f t="shared" si="39"/>
        <v>42453</v>
      </c>
    </row>
    <row r="811" spans="31:34">
      <c r="AE811" s="11">
        <v>42447</v>
      </c>
      <c r="AF811" s="12">
        <f t="shared" si="38"/>
        <v>6</v>
      </c>
      <c r="AG811" s="11">
        <f t="shared" si="40"/>
        <v>42452</v>
      </c>
      <c r="AH811" s="11">
        <f t="shared" si="39"/>
        <v>42454</v>
      </c>
    </row>
    <row r="812" spans="31:34">
      <c r="AE812" s="11">
        <v>42448</v>
      </c>
      <c r="AF812" s="12">
        <f t="shared" si="38"/>
        <v>7</v>
      </c>
      <c r="AG812" s="11">
        <f t="shared" si="40"/>
        <v>42453</v>
      </c>
      <c r="AH812" s="11">
        <f t="shared" si="39"/>
        <v>42457</v>
      </c>
    </row>
    <row r="813" spans="31:34">
      <c r="AE813" s="11">
        <v>42449</v>
      </c>
      <c r="AF813" s="12">
        <f t="shared" si="38"/>
        <v>1</v>
      </c>
      <c r="AG813" s="11">
        <f t="shared" si="40"/>
        <v>42453</v>
      </c>
      <c r="AH813" s="11">
        <f t="shared" si="39"/>
        <v>42457</v>
      </c>
    </row>
    <row r="814" spans="31:34">
      <c r="AE814" s="11">
        <v>42450</v>
      </c>
      <c r="AF814" s="12">
        <f t="shared" si="38"/>
        <v>2</v>
      </c>
      <c r="AG814" s="11">
        <f t="shared" si="40"/>
        <v>42454</v>
      </c>
      <c r="AH814" s="11">
        <f t="shared" si="39"/>
        <v>42458</v>
      </c>
    </row>
    <row r="815" spans="31:34">
      <c r="AE815" s="11">
        <v>42451</v>
      </c>
      <c r="AF815" s="12">
        <f t="shared" si="38"/>
        <v>3</v>
      </c>
      <c r="AG815" s="11">
        <f t="shared" si="40"/>
        <v>42457</v>
      </c>
      <c r="AH815" s="11">
        <f t="shared" si="39"/>
        <v>42459</v>
      </c>
    </row>
    <row r="816" spans="31:34">
      <c r="AE816" s="11">
        <v>42452</v>
      </c>
      <c r="AF816" s="12">
        <f t="shared" si="38"/>
        <v>4</v>
      </c>
      <c r="AG816" s="11">
        <f t="shared" si="40"/>
        <v>42457</v>
      </c>
      <c r="AH816" s="11">
        <f t="shared" si="39"/>
        <v>42459</v>
      </c>
    </row>
    <row r="817" spans="31:34">
      <c r="AE817" s="11">
        <v>42453</v>
      </c>
      <c r="AF817" s="12">
        <f t="shared" si="38"/>
        <v>5</v>
      </c>
      <c r="AG817" s="11">
        <f t="shared" si="40"/>
        <v>42458</v>
      </c>
      <c r="AH817" s="11">
        <f t="shared" si="39"/>
        <v>42460</v>
      </c>
    </row>
    <row r="818" spans="31:34">
      <c r="AE818" s="11">
        <v>42454</v>
      </c>
      <c r="AF818" s="12">
        <f t="shared" si="38"/>
        <v>6</v>
      </c>
      <c r="AG818" s="11">
        <f t="shared" si="40"/>
        <v>42459</v>
      </c>
      <c r="AH818" s="11">
        <f t="shared" si="39"/>
        <v>42461</v>
      </c>
    </row>
    <row r="819" spans="31:34">
      <c r="AE819" s="11">
        <v>42455</v>
      </c>
      <c r="AF819" s="12">
        <f t="shared" si="38"/>
        <v>7</v>
      </c>
      <c r="AG819" s="11">
        <f t="shared" si="40"/>
        <v>42460</v>
      </c>
      <c r="AH819" s="11">
        <f t="shared" si="39"/>
        <v>42464</v>
      </c>
    </row>
    <row r="820" spans="31:34">
      <c r="AE820" s="11">
        <v>42456</v>
      </c>
      <c r="AF820" s="12">
        <f t="shared" si="38"/>
        <v>1</v>
      </c>
      <c r="AG820" s="11">
        <f t="shared" si="40"/>
        <v>42460</v>
      </c>
      <c r="AH820" s="11">
        <f t="shared" si="39"/>
        <v>42464</v>
      </c>
    </row>
    <row r="821" spans="31:34">
      <c r="AE821" s="11">
        <v>42457</v>
      </c>
      <c r="AF821" s="12">
        <f t="shared" si="38"/>
        <v>2</v>
      </c>
      <c r="AG821" s="11">
        <f t="shared" si="40"/>
        <v>42461</v>
      </c>
      <c r="AH821" s="11">
        <f t="shared" si="39"/>
        <v>42465</v>
      </c>
    </row>
    <row r="822" spans="31:34">
      <c r="AE822" s="11">
        <v>42458</v>
      </c>
      <c r="AF822" s="12">
        <f t="shared" si="38"/>
        <v>3</v>
      </c>
      <c r="AG822" s="11">
        <f t="shared" si="40"/>
        <v>42464</v>
      </c>
      <c r="AH822" s="11">
        <f t="shared" si="39"/>
        <v>42466</v>
      </c>
    </row>
    <row r="823" spans="31:34">
      <c r="AE823" s="11">
        <v>42459</v>
      </c>
      <c r="AF823" s="12">
        <f t="shared" si="38"/>
        <v>4</v>
      </c>
      <c r="AG823" s="11">
        <f t="shared" si="40"/>
        <v>42464</v>
      </c>
      <c r="AH823" s="11">
        <f t="shared" si="39"/>
        <v>42466</v>
      </c>
    </row>
    <row r="824" spans="31:34">
      <c r="AE824" s="11">
        <v>42460</v>
      </c>
      <c r="AF824" s="12">
        <f t="shared" si="38"/>
        <v>5</v>
      </c>
      <c r="AG824" s="11">
        <f t="shared" si="40"/>
        <v>42465</v>
      </c>
      <c r="AH824" s="11">
        <f t="shared" si="39"/>
        <v>42467</v>
      </c>
    </row>
    <row r="825" spans="31:34">
      <c r="AE825" s="11">
        <v>42461</v>
      </c>
      <c r="AF825" s="12">
        <f t="shared" si="38"/>
        <v>6</v>
      </c>
      <c r="AG825" s="11">
        <f t="shared" si="40"/>
        <v>42466</v>
      </c>
      <c r="AH825" s="11">
        <f t="shared" si="39"/>
        <v>42468</v>
      </c>
    </row>
    <row r="826" spans="31:34">
      <c r="AE826" s="11">
        <v>42462</v>
      </c>
      <c r="AF826" s="12">
        <f t="shared" si="38"/>
        <v>7</v>
      </c>
      <c r="AG826" s="11">
        <f t="shared" si="40"/>
        <v>42467</v>
      </c>
      <c r="AH826" s="11">
        <f t="shared" si="39"/>
        <v>42471</v>
      </c>
    </row>
    <row r="827" spans="31:34">
      <c r="AE827" s="11">
        <v>42463</v>
      </c>
      <c r="AF827" s="12">
        <f t="shared" si="38"/>
        <v>1</v>
      </c>
      <c r="AG827" s="11">
        <f t="shared" si="40"/>
        <v>42467</v>
      </c>
      <c r="AH827" s="11">
        <f t="shared" si="39"/>
        <v>42471</v>
      </c>
    </row>
    <row r="828" spans="31:34">
      <c r="AE828" s="11">
        <v>42464</v>
      </c>
      <c r="AF828" s="12">
        <f t="shared" si="38"/>
        <v>2</v>
      </c>
      <c r="AG828" s="11">
        <f t="shared" si="40"/>
        <v>42468</v>
      </c>
      <c r="AH828" s="11">
        <f t="shared" si="39"/>
        <v>42472</v>
      </c>
    </row>
    <row r="829" spans="31:34">
      <c r="AE829" s="11">
        <v>42465</v>
      </c>
      <c r="AF829" s="12">
        <f t="shared" si="38"/>
        <v>3</v>
      </c>
      <c r="AG829" s="11">
        <f t="shared" si="40"/>
        <v>42471</v>
      </c>
      <c r="AH829" s="11">
        <f t="shared" si="39"/>
        <v>42473</v>
      </c>
    </row>
    <row r="830" spans="31:34">
      <c r="AE830" s="11">
        <v>42466</v>
      </c>
      <c r="AF830" s="12">
        <f t="shared" si="38"/>
        <v>4</v>
      </c>
      <c r="AG830" s="11">
        <f t="shared" si="40"/>
        <v>42471</v>
      </c>
      <c r="AH830" s="11">
        <f t="shared" si="39"/>
        <v>42473</v>
      </c>
    </row>
    <row r="831" spans="31:34">
      <c r="AE831" s="11">
        <v>42467</v>
      </c>
      <c r="AF831" s="12">
        <f t="shared" si="38"/>
        <v>5</v>
      </c>
      <c r="AG831" s="11">
        <f t="shared" si="40"/>
        <v>42472</v>
      </c>
      <c r="AH831" s="11">
        <f t="shared" si="39"/>
        <v>42474</v>
      </c>
    </row>
    <row r="832" spans="31:34">
      <c r="AE832" s="11">
        <v>42468</v>
      </c>
      <c r="AF832" s="12">
        <f t="shared" si="38"/>
        <v>6</v>
      </c>
      <c r="AG832" s="11">
        <f t="shared" si="40"/>
        <v>42473</v>
      </c>
      <c r="AH832" s="11">
        <f t="shared" si="39"/>
        <v>42475</v>
      </c>
    </row>
    <row r="833" spans="31:34">
      <c r="AE833" s="11">
        <v>42469</v>
      </c>
      <c r="AF833" s="12">
        <f t="shared" si="38"/>
        <v>7</v>
      </c>
      <c r="AG833" s="11">
        <f t="shared" si="40"/>
        <v>42474</v>
      </c>
      <c r="AH833" s="11">
        <f t="shared" si="39"/>
        <v>42478</v>
      </c>
    </row>
    <row r="834" spans="31:34">
      <c r="AE834" s="11">
        <v>42470</v>
      </c>
      <c r="AF834" s="12">
        <f t="shared" si="38"/>
        <v>1</v>
      </c>
      <c r="AG834" s="11">
        <f t="shared" si="40"/>
        <v>42474</v>
      </c>
      <c r="AH834" s="11">
        <f t="shared" si="39"/>
        <v>42478</v>
      </c>
    </row>
    <row r="835" spans="31:34">
      <c r="AE835" s="11">
        <v>42471</v>
      </c>
      <c r="AF835" s="12">
        <f t="shared" si="38"/>
        <v>2</v>
      </c>
      <c r="AG835" s="11">
        <f t="shared" si="40"/>
        <v>42475</v>
      </c>
      <c r="AH835" s="11">
        <f t="shared" si="39"/>
        <v>42479</v>
      </c>
    </row>
    <row r="836" spans="31:34">
      <c r="AE836" s="11">
        <v>42472</v>
      </c>
      <c r="AF836" s="12">
        <f t="shared" si="38"/>
        <v>3</v>
      </c>
      <c r="AG836" s="11">
        <f t="shared" si="40"/>
        <v>42478</v>
      </c>
      <c r="AH836" s="11">
        <f t="shared" si="39"/>
        <v>42480</v>
      </c>
    </row>
    <row r="837" spans="31:34">
      <c r="AE837" s="11">
        <v>42473</v>
      </c>
      <c r="AF837" s="12">
        <f t="shared" ref="AF837:AF900" si="41">WEEKDAY(AE837)</f>
        <v>4</v>
      </c>
      <c r="AG837" s="11">
        <f t="shared" si="40"/>
        <v>42478</v>
      </c>
      <c r="AH837" s="11">
        <f t="shared" ref="AH837:AH900" si="42">IFERROR((WORKDAY(AG837, 2, AC$4:AC$53)), "")</f>
        <v>42480</v>
      </c>
    </row>
    <row r="838" spans="31:34">
      <c r="AE838" s="11">
        <v>42474</v>
      </c>
      <c r="AF838" s="12">
        <f t="shared" si="41"/>
        <v>5</v>
      </c>
      <c r="AG838" s="11">
        <f t="shared" si="40"/>
        <v>42479</v>
      </c>
      <c r="AH838" s="11">
        <f t="shared" si="42"/>
        <v>42481</v>
      </c>
    </row>
    <row r="839" spans="31:34">
      <c r="AE839" s="11">
        <v>42475</v>
      </c>
      <c r="AF839" s="12">
        <f t="shared" si="41"/>
        <v>6</v>
      </c>
      <c r="AG839" s="11">
        <f t="shared" si="40"/>
        <v>42480</v>
      </c>
      <c r="AH839" s="11">
        <f t="shared" si="42"/>
        <v>42482</v>
      </c>
    </row>
    <row r="840" spans="31:34">
      <c r="AE840" s="11">
        <v>42476</v>
      </c>
      <c r="AF840" s="12">
        <f t="shared" si="41"/>
        <v>7</v>
      </c>
      <c r="AG840" s="11">
        <f t="shared" si="40"/>
        <v>42481</v>
      </c>
      <c r="AH840" s="11">
        <f t="shared" si="42"/>
        <v>42485</v>
      </c>
    </row>
    <row r="841" spans="31:34">
      <c r="AE841" s="11">
        <v>42477</v>
      </c>
      <c r="AF841" s="12">
        <f t="shared" si="41"/>
        <v>1</v>
      </c>
      <c r="AG841" s="11">
        <f t="shared" si="40"/>
        <v>42481</v>
      </c>
      <c r="AH841" s="11">
        <f t="shared" si="42"/>
        <v>42485</v>
      </c>
    </row>
    <row r="842" spans="31:34">
      <c r="AE842" s="11">
        <v>42478</v>
      </c>
      <c r="AF842" s="12">
        <f t="shared" si="41"/>
        <v>2</v>
      </c>
      <c r="AG842" s="11">
        <f t="shared" si="40"/>
        <v>42482</v>
      </c>
      <c r="AH842" s="11">
        <f t="shared" si="42"/>
        <v>42486</v>
      </c>
    </row>
    <row r="843" spans="31:34">
      <c r="AE843" s="11">
        <v>42479</v>
      </c>
      <c r="AF843" s="12">
        <f t="shared" si="41"/>
        <v>3</v>
      </c>
      <c r="AG843" s="11">
        <f t="shared" si="40"/>
        <v>42485</v>
      </c>
      <c r="AH843" s="11">
        <f t="shared" si="42"/>
        <v>42487</v>
      </c>
    </row>
    <row r="844" spans="31:34">
      <c r="AE844" s="11">
        <v>42480</v>
      </c>
      <c r="AF844" s="12">
        <f t="shared" si="41"/>
        <v>4</v>
      </c>
      <c r="AG844" s="11">
        <f t="shared" si="40"/>
        <v>42485</v>
      </c>
      <c r="AH844" s="11">
        <f t="shared" si="42"/>
        <v>42487</v>
      </c>
    </row>
    <row r="845" spans="31:34">
      <c r="AE845" s="11">
        <v>42481</v>
      </c>
      <c r="AF845" s="12">
        <f t="shared" si="41"/>
        <v>5</v>
      </c>
      <c r="AG845" s="11">
        <f t="shared" si="40"/>
        <v>42486</v>
      </c>
      <c r="AH845" s="11">
        <f t="shared" si="42"/>
        <v>42488</v>
      </c>
    </row>
    <row r="846" spans="31:34">
      <c r="AE846" s="11">
        <v>42482</v>
      </c>
      <c r="AF846" s="12">
        <f t="shared" si="41"/>
        <v>6</v>
      </c>
      <c r="AG846" s="11">
        <f t="shared" si="40"/>
        <v>42487</v>
      </c>
      <c r="AH846" s="11">
        <f t="shared" si="42"/>
        <v>42489</v>
      </c>
    </row>
    <row r="847" spans="31:34">
      <c r="AE847" s="11">
        <v>42483</v>
      </c>
      <c r="AF847" s="12">
        <f t="shared" si="41"/>
        <v>7</v>
      </c>
      <c r="AG847" s="11">
        <f t="shared" si="40"/>
        <v>42488</v>
      </c>
      <c r="AH847" s="11">
        <f t="shared" si="42"/>
        <v>42492</v>
      </c>
    </row>
    <row r="848" spans="31:34">
      <c r="AE848" s="11">
        <v>42484</v>
      </c>
      <c r="AF848" s="12">
        <f t="shared" si="41"/>
        <v>1</v>
      </c>
      <c r="AG848" s="11">
        <f t="shared" si="40"/>
        <v>42488</v>
      </c>
      <c r="AH848" s="11">
        <f t="shared" si="42"/>
        <v>42492</v>
      </c>
    </row>
    <row r="849" spans="30:34">
      <c r="AE849" s="11">
        <v>42485</v>
      </c>
      <c r="AF849" s="12">
        <f t="shared" si="41"/>
        <v>2</v>
      </c>
      <c r="AG849" s="11">
        <f t="shared" si="40"/>
        <v>42489</v>
      </c>
      <c r="AH849" s="11">
        <f t="shared" si="42"/>
        <v>42493</v>
      </c>
    </row>
    <row r="850" spans="30:34">
      <c r="AE850" s="11">
        <v>42486</v>
      </c>
      <c r="AF850" s="12">
        <f t="shared" si="41"/>
        <v>3</v>
      </c>
      <c r="AG850" s="11">
        <f t="shared" si="40"/>
        <v>42492</v>
      </c>
      <c r="AH850" s="11">
        <f t="shared" si="42"/>
        <v>42494</v>
      </c>
    </row>
    <row r="851" spans="30:34">
      <c r="AE851" s="11">
        <v>42487</v>
      </c>
      <c r="AF851" s="12">
        <f t="shared" si="41"/>
        <v>4</v>
      </c>
      <c r="AG851" s="11">
        <f t="shared" si="40"/>
        <v>42492</v>
      </c>
      <c r="AH851" s="11">
        <f t="shared" si="42"/>
        <v>42494</v>
      </c>
    </row>
    <row r="852" spans="30:34">
      <c r="AE852" s="11">
        <v>42488</v>
      </c>
      <c r="AF852" s="12">
        <f t="shared" si="41"/>
        <v>5</v>
      </c>
      <c r="AG852" s="11">
        <f t="shared" si="40"/>
        <v>42493</v>
      </c>
      <c r="AH852" s="11">
        <f t="shared" si="42"/>
        <v>42495</v>
      </c>
    </row>
    <row r="853" spans="30:34">
      <c r="AE853" s="11">
        <v>42489</v>
      </c>
      <c r="AF853" s="12">
        <f t="shared" si="41"/>
        <v>6</v>
      </c>
      <c r="AG853" s="11">
        <f t="shared" si="40"/>
        <v>42494</v>
      </c>
      <c r="AH853" s="11">
        <f t="shared" si="42"/>
        <v>42496</v>
      </c>
    </row>
    <row r="854" spans="30:34">
      <c r="AE854" s="11">
        <v>42490</v>
      </c>
      <c r="AF854" s="12">
        <f t="shared" si="41"/>
        <v>7</v>
      </c>
      <c r="AG854" s="11">
        <f t="shared" si="40"/>
        <v>42495</v>
      </c>
      <c r="AH854" s="11">
        <f t="shared" si="42"/>
        <v>42499</v>
      </c>
    </row>
    <row r="855" spans="30:34">
      <c r="AD855" s="10" t="s">
        <v>52</v>
      </c>
      <c r="AE855" s="11">
        <v>42491</v>
      </c>
      <c r="AF855" s="12">
        <f t="shared" si="41"/>
        <v>1</v>
      </c>
      <c r="AG855" s="11">
        <f t="shared" si="40"/>
        <v>42495</v>
      </c>
      <c r="AH855" s="11">
        <f t="shared" si="42"/>
        <v>42499</v>
      </c>
    </row>
    <row r="856" spans="30:34">
      <c r="AD856" s="10" t="s">
        <v>53</v>
      </c>
      <c r="AE856" s="11">
        <v>42492</v>
      </c>
      <c r="AF856" s="12">
        <f t="shared" si="41"/>
        <v>2</v>
      </c>
      <c r="AG856" s="11">
        <f t="shared" si="40"/>
        <v>42496</v>
      </c>
      <c r="AH856" s="11">
        <f t="shared" si="42"/>
        <v>42500</v>
      </c>
    </row>
    <row r="857" spans="30:34">
      <c r="AD857" s="10" t="s">
        <v>54</v>
      </c>
      <c r="AE857" s="11">
        <v>42493</v>
      </c>
      <c r="AF857" s="12">
        <f t="shared" si="41"/>
        <v>3</v>
      </c>
      <c r="AG857" s="11">
        <f t="shared" si="40"/>
        <v>42499</v>
      </c>
      <c r="AH857" s="11">
        <f t="shared" si="42"/>
        <v>42501</v>
      </c>
    </row>
    <row r="858" spans="30:34">
      <c r="AD858" s="10" t="s">
        <v>55</v>
      </c>
      <c r="AE858" s="11">
        <v>42494</v>
      </c>
      <c r="AF858" s="12">
        <f t="shared" si="41"/>
        <v>4</v>
      </c>
      <c r="AG858" s="11">
        <f t="shared" si="40"/>
        <v>42499</v>
      </c>
      <c r="AH858" s="11">
        <f t="shared" si="42"/>
        <v>42501</v>
      </c>
    </row>
    <row r="859" spans="30:34">
      <c r="AD859" s="10" t="s">
        <v>56</v>
      </c>
      <c r="AE859" s="11">
        <v>42495</v>
      </c>
      <c r="AF859" s="12">
        <f t="shared" si="41"/>
        <v>5</v>
      </c>
      <c r="AG859" s="11">
        <f t="shared" si="40"/>
        <v>42500</v>
      </c>
      <c r="AH859" s="11">
        <f t="shared" si="42"/>
        <v>42502</v>
      </c>
    </row>
    <row r="860" spans="30:34">
      <c r="AD860" s="10" t="s">
        <v>57</v>
      </c>
      <c r="AE860" s="11">
        <v>42496</v>
      </c>
      <c r="AF860" s="12">
        <f t="shared" si="41"/>
        <v>6</v>
      </c>
      <c r="AG860" s="11">
        <f t="shared" si="40"/>
        <v>42501</v>
      </c>
      <c r="AH860" s="11">
        <f t="shared" si="42"/>
        <v>42503</v>
      </c>
    </row>
    <row r="861" spans="30:34">
      <c r="AD861" s="10" t="s">
        <v>58</v>
      </c>
      <c r="AE861" s="11">
        <v>42497</v>
      </c>
      <c r="AF861" s="12">
        <f t="shared" si="41"/>
        <v>7</v>
      </c>
      <c r="AG861" s="11">
        <f t="shared" si="40"/>
        <v>42502</v>
      </c>
      <c r="AH861" s="11">
        <f t="shared" si="42"/>
        <v>42506</v>
      </c>
    </row>
    <row r="862" spans="30:34">
      <c r="AD862" s="10" t="s">
        <v>52</v>
      </c>
      <c r="AE862" s="11">
        <v>42498</v>
      </c>
      <c r="AF862" s="12">
        <f t="shared" si="41"/>
        <v>1</v>
      </c>
      <c r="AG862" s="11">
        <f t="shared" ref="AG862:AG925" si="43">AE862+(VLOOKUP(AF862, $AJ$4:$AK$10, 2, FALSE))</f>
        <v>42502</v>
      </c>
      <c r="AH862" s="11">
        <f t="shared" si="42"/>
        <v>42506</v>
      </c>
    </row>
    <row r="863" spans="30:34">
      <c r="AD863" s="10" t="s">
        <v>53</v>
      </c>
      <c r="AE863" s="11">
        <v>42499</v>
      </c>
      <c r="AF863" s="12">
        <f t="shared" si="41"/>
        <v>2</v>
      </c>
      <c r="AG863" s="11">
        <f t="shared" si="43"/>
        <v>42503</v>
      </c>
      <c r="AH863" s="11">
        <f t="shared" si="42"/>
        <v>42507</v>
      </c>
    </row>
    <row r="864" spans="30:34">
      <c r="AD864" s="10" t="s">
        <v>54</v>
      </c>
      <c r="AE864" s="11">
        <v>42500</v>
      </c>
      <c r="AF864" s="12">
        <f t="shared" si="41"/>
        <v>3</v>
      </c>
      <c r="AG864" s="11">
        <f t="shared" si="43"/>
        <v>42506</v>
      </c>
      <c r="AH864" s="11">
        <f t="shared" si="42"/>
        <v>42508</v>
      </c>
    </row>
    <row r="865" spans="30:34">
      <c r="AD865" s="10" t="s">
        <v>55</v>
      </c>
      <c r="AE865" s="11">
        <v>42501</v>
      </c>
      <c r="AF865" s="12">
        <f t="shared" si="41"/>
        <v>4</v>
      </c>
      <c r="AG865" s="11">
        <f t="shared" si="43"/>
        <v>42506</v>
      </c>
      <c r="AH865" s="11">
        <f t="shared" si="42"/>
        <v>42508</v>
      </c>
    </row>
    <row r="866" spans="30:34">
      <c r="AD866" s="10" t="s">
        <v>56</v>
      </c>
      <c r="AE866" s="11">
        <v>42502</v>
      </c>
      <c r="AF866" s="12">
        <f t="shared" si="41"/>
        <v>5</v>
      </c>
      <c r="AG866" s="11">
        <f t="shared" si="43"/>
        <v>42507</v>
      </c>
      <c r="AH866" s="11">
        <f t="shared" si="42"/>
        <v>42509</v>
      </c>
    </row>
    <row r="867" spans="30:34">
      <c r="AD867" s="10" t="s">
        <v>57</v>
      </c>
      <c r="AE867" s="11">
        <v>42503</v>
      </c>
      <c r="AF867" s="12">
        <f t="shared" si="41"/>
        <v>6</v>
      </c>
      <c r="AG867" s="11">
        <f t="shared" si="43"/>
        <v>42508</v>
      </c>
      <c r="AH867" s="11">
        <f t="shared" si="42"/>
        <v>42510</v>
      </c>
    </row>
    <row r="868" spans="30:34">
      <c r="AD868" s="10" t="s">
        <v>58</v>
      </c>
      <c r="AE868" s="11">
        <v>42504</v>
      </c>
      <c r="AF868" s="12">
        <f t="shared" si="41"/>
        <v>7</v>
      </c>
      <c r="AG868" s="11">
        <f t="shared" si="43"/>
        <v>42509</v>
      </c>
      <c r="AH868" s="11">
        <f t="shared" si="42"/>
        <v>42513</v>
      </c>
    </row>
    <row r="869" spans="30:34">
      <c r="AD869" s="10" t="s">
        <v>52</v>
      </c>
      <c r="AE869" s="11">
        <v>42505</v>
      </c>
      <c r="AF869" s="12">
        <f t="shared" si="41"/>
        <v>1</v>
      </c>
      <c r="AG869" s="11">
        <f t="shared" si="43"/>
        <v>42509</v>
      </c>
      <c r="AH869" s="11">
        <f t="shared" si="42"/>
        <v>42513</v>
      </c>
    </row>
    <row r="870" spans="30:34">
      <c r="AD870" s="10" t="s">
        <v>53</v>
      </c>
      <c r="AE870" s="11">
        <v>42506</v>
      </c>
      <c r="AF870" s="12">
        <f t="shared" si="41"/>
        <v>2</v>
      </c>
      <c r="AG870" s="11">
        <f t="shared" si="43"/>
        <v>42510</v>
      </c>
      <c r="AH870" s="11">
        <f t="shared" si="42"/>
        <v>42514</v>
      </c>
    </row>
    <row r="871" spans="30:34">
      <c r="AD871" s="10" t="s">
        <v>54</v>
      </c>
      <c r="AE871" s="11">
        <v>42507</v>
      </c>
      <c r="AF871" s="12">
        <f t="shared" si="41"/>
        <v>3</v>
      </c>
      <c r="AG871" s="11">
        <f t="shared" si="43"/>
        <v>42513</v>
      </c>
      <c r="AH871" s="11">
        <f t="shared" si="42"/>
        <v>42515</v>
      </c>
    </row>
    <row r="872" spans="30:34">
      <c r="AD872" s="10" t="s">
        <v>55</v>
      </c>
      <c r="AE872" s="11">
        <v>42508</v>
      </c>
      <c r="AF872" s="12">
        <f t="shared" si="41"/>
        <v>4</v>
      </c>
      <c r="AG872" s="11">
        <f t="shared" si="43"/>
        <v>42513</v>
      </c>
      <c r="AH872" s="11">
        <f t="shared" si="42"/>
        <v>42515</v>
      </c>
    </row>
    <row r="873" spans="30:34">
      <c r="AD873" s="10" t="s">
        <v>56</v>
      </c>
      <c r="AE873" s="11">
        <v>42509</v>
      </c>
      <c r="AF873" s="12">
        <f t="shared" si="41"/>
        <v>5</v>
      </c>
      <c r="AG873" s="11">
        <f t="shared" si="43"/>
        <v>42514</v>
      </c>
      <c r="AH873" s="11">
        <f t="shared" si="42"/>
        <v>42516</v>
      </c>
    </row>
    <row r="874" spans="30:34">
      <c r="AD874" s="10" t="s">
        <v>57</v>
      </c>
      <c r="AE874" s="11">
        <v>42510</v>
      </c>
      <c r="AF874" s="12">
        <f t="shared" si="41"/>
        <v>6</v>
      </c>
      <c r="AG874" s="11">
        <f t="shared" si="43"/>
        <v>42515</v>
      </c>
      <c r="AH874" s="11">
        <f t="shared" si="42"/>
        <v>42517</v>
      </c>
    </row>
    <row r="875" spans="30:34">
      <c r="AD875" s="10" t="s">
        <v>58</v>
      </c>
      <c r="AE875" s="11">
        <v>42511</v>
      </c>
      <c r="AF875" s="12">
        <f t="shared" si="41"/>
        <v>7</v>
      </c>
      <c r="AG875" s="11">
        <f t="shared" si="43"/>
        <v>42516</v>
      </c>
      <c r="AH875" s="11">
        <f t="shared" si="42"/>
        <v>42521</v>
      </c>
    </row>
    <row r="876" spans="30:34">
      <c r="AD876" s="10" t="s">
        <v>52</v>
      </c>
      <c r="AE876" s="11">
        <v>42512</v>
      </c>
      <c r="AF876" s="12">
        <f t="shared" si="41"/>
        <v>1</v>
      </c>
      <c r="AG876" s="11">
        <f t="shared" si="43"/>
        <v>42516</v>
      </c>
      <c r="AH876" s="11">
        <f t="shared" si="42"/>
        <v>42521</v>
      </c>
    </row>
    <row r="877" spans="30:34">
      <c r="AD877" s="10" t="s">
        <v>53</v>
      </c>
      <c r="AE877" s="11">
        <v>42513</v>
      </c>
      <c r="AF877" s="12">
        <f t="shared" si="41"/>
        <v>2</v>
      </c>
      <c r="AG877" s="11">
        <f t="shared" si="43"/>
        <v>42517</v>
      </c>
      <c r="AH877" s="11">
        <f t="shared" si="42"/>
        <v>42522</v>
      </c>
    </row>
    <row r="878" spans="30:34">
      <c r="AD878" s="10" t="s">
        <v>54</v>
      </c>
      <c r="AE878" s="11">
        <v>42514</v>
      </c>
      <c r="AF878" s="12">
        <f t="shared" si="41"/>
        <v>3</v>
      </c>
      <c r="AG878" s="11">
        <v>42521</v>
      </c>
      <c r="AH878" s="11">
        <f t="shared" si="42"/>
        <v>42523</v>
      </c>
    </row>
    <row r="879" spans="30:34">
      <c r="AD879" s="10" t="s">
        <v>55</v>
      </c>
      <c r="AE879" s="11">
        <v>42515</v>
      </c>
      <c r="AF879" s="12">
        <f t="shared" si="41"/>
        <v>4</v>
      </c>
      <c r="AG879" s="11">
        <v>42521</v>
      </c>
      <c r="AH879" s="11">
        <f t="shared" si="42"/>
        <v>42523</v>
      </c>
    </row>
    <row r="880" spans="30:34">
      <c r="AD880" s="10" t="s">
        <v>56</v>
      </c>
      <c r="AE880" s="11">
        <v>42516</v>
      </c>
      <c r="AF880" s="12">
        <f t="shared" si="41"/>
        <v>5</v>
      </c>
      <c r="AG880" s="11">
        <v>42522</v>
      </c>
      <c r="AH880" s="11">
        <f t="shared" si="42"/>
        <v>42524</v>
      </c>
    </row>
    <row r="881" spans="30:34">
      <c r="AD881" s="10" t="s">
        <v>57</v>
      </c>
      <c r="AE881" s="11">
        <v>42517</v>
      </c>
      <c r="AF881" s="12">
        <f t="shared" si="41"/>
        <v>6</v>
      </c>
      <c r="AG881" s="11">
        <v>42523</v>
      </c>
      <c r="AH881" s="11">
        <f t="shared" si="42"/>
        <v>42527</v>
      </c>
    </row>
    <row r="882" spans="30:34">
      <c r="AD882" s="10" t="s">
        <v>58</v>
      </c>
      <c r="AE882" s="11">
        <v>42518</v>
      </c>
      <c r="AF882" s="12">
        <f t="shared" si="41"/>
        <v>7</v>
      </c>
      <c r="AG882" s="11">
        <v>42524</v>
      </c>
      <c r="AH882" s="11">
        <f t="shared" si="42"/>
        <v>42528</v>
      </c>
    </row>
    <row r="883" spans="30:34">
      <c r="AD883" s="10" t="s">
        <v>52</v>
      </c>
      <c r="AE883" s="11">
        <v>42519</v>
      </c>
      <c r="AF883" s="12">
        <f t="shared" si="41"/>
        <v>1</v>
      </c>
      <c r="AG883" s="11">
        <v>42524</v>
      </c>
      <c r="AH883" s="11">
        <f t="shared" si="42"/>
        <v>42528</v>
      </c>
    </row>
    <row r="884" spans="30:34">
      <c r="AD884" s="10" t="s">
        <v>53</v>
      </c>
      <c r="AE884" s="11">
        <v>42520</v>
      </c>
      <c r="AF884" s="12">
        <f t="shared" si="41"/>
        <v>2</v>
      </c>
      <c r="AG884" s="11">
        <f t="shared" si="43"/>
        <v>42524</v>
      </c>
      <c r="AH884" s="11">
        <f t="shared" si="42"/>
        <v>42528</v>
      </c>
    </row>
    <row r="885" spans="30:34">
      <c r="AD885" s="10" t="s">
        <v>54</v>
      </c>
      <c r="AE885" s="11">
        <v>42521</v>
      </c>
      <c r="AF885" s="12">
        <f t="shared" si="41"/>
        <v>3</v>
      </c>
      <c r="AG885" s="11">
        <f t="shared" si="43"/>
        <v>42527</v>
      </c>
      <c r="AH885" s="11">
        <f t="shared" si="42"/>
        <v>42529</v>
      </c>
    </row>
    <row r="886" spans="30:34">
      <c r="AD886" s="10" t="s">
        <v>55</v>
      </c>
      <c r="AE886" s="11">
        <v>42522</v>
      </c>
      <c r="AF886" s="12">
        <f t="shared" si="41"/>
        <v>4</v>
      </c>
      <c r="AG886" s="11">
        <f t="shared" si="43"/>
        <v>42527</v>
      </c>
      <c r="AH886" s="11">
        <f t="shared" si="42"/>
        <v>42529</v>
      </c>
    </row>
    <row r="887" spans="30:34">
      <c r="AD887" s="10" t="s">
        <v>56</v>
      </c>
      <c r="AE887" s="11">
        <v>42523</v>
      </c>
      <c r="AF887" s="12">
        <f t="shared" si="41"/>
        <v>5</v>
      </c>
      <c r="AG887" s="11">
        <f t="shared" si="43"/>
        <v>42528</v>
      </c>
      <c r="AH887" s="11">
        <f t="shared" si="42"/>
        <v>42530</v>
      </c>
    </row>
    <row r="888" spans="30:34">
      <c r="AD888" s="10" t="s">
        <v>57</v>
      </c>
      <c r="AE888" s="11">
        <v>42524</v>
      </c>
      <c r="AF888" s="12">
        <f t="shared" si="41"/>
        <v>6</v>
      </c>
      <c r="AG888" s="11">
        <f t="shared" si="43"/>
        <v>42529</v>
      </c>
      <c r="AH888" s="11">
        <f t="shared" si="42"/>
        <v>42531</v>
      </c>
    </row>
    <row r="889" spans="30:34">
      <c r="AD889" s="10" t="s">
        <v>58</v>
      </c>
      <c r="AE889" s="11">
        <v>42525</v>
      </c>
      <c r="AF889" s="12">
        <f t="shared" si="41"/>
        <v>7</v>
      </c>
      <c r="AG889" s="11">
        <f t="shared" si="43"/>
        <v>42530</v>
      </c>
      <c r="AH889" s="11">
        <f t="shared" si="42"/>
        <v>42534</v>
      </c>
    </row>
    <row r="890" spans="30:34">
      <c r="AD890" s="10" t="s">
        <v>52</v>
      </c>
      <c r="AE890" s="11">
        <v>42526</v>
      </c>
      <c r="AF890" s="12">
        <f t="shared" si="41"/>
        <v>1</v>
      </c>
      <c r="AG890" s="11">
        <f t="shared" si="43"/>
        <v>42530</v>
      </c>
      <c r="AH890" s="11">
        <f t="shared" si="42"/>
        <v>42534</v>
      </c>
    </row>
    <row r="891" spans="30:34">
      <c r="AD891" s="10" t="s">
        <v>53</v>
      </c>
      <c r="AE891" s="11">
        <v>42527</v>
      </c>
      <c r="AF891" s="12">
        <f t="shared" si="41"/>
        <v>2</v>
      </c>
      <c r="AG891" s="11">
        <f t="shared" si="43"/>
        <v>42531</v>
      </c>
      <c r="AH891" s="11">
        <f t="shared" si="42"/>
        <v>42535</v>
      </c>
    </row>
    <row r="892" spans="30:34">
      <c r="AD892" s="10" t="s">
        <v>54</v>
      </c>
      <c r="AE892" s="11">
        <v>42528</v>
      </c>
      <c r="AF892" s="12">
        <f t="shared" si="41"/>
        <v>3</v>
      </c>
      <c r="AG892" s="11">
        <f t="shared" si="43"/>
        <v>42534</v>
      </c>
      <c r="AH892" s="11">
        <f t="shared" si="42"/>
        <v>42536</v>
      </c>
    </row>
    <row r="893" spans="30:34">
      <c r="AD893" s="10" t="s">
        <v>55</v>
      </c>
      <c r="AE893" s="11">
        <v>42529</v>
      </c>
      <c r="AF893" s="12">
        <f t="shared" si="41"/>
        <v>4</v>
      </c>
      <c r="AG893" s="11">
        <f t="shared" si="43"/>
        <v>42534</v>
      </c>
      <c r="AH893" s="11">
        <f t="shared" si="42"/>
        <v>42536</v>
      </c>
    </row>
    <row r="894" spans="30:34">
      <c r="AD894" s="10" t="s">
        <v>56</v>
      </c>
      <c r="AE894" s="11">
        <v>42530</v>
      </c>
      <c r="AF894" s="12">
        <f t="shared" si="41"/>
        <v>5</v>
      </c>
      <c r="AG894" s="11">
        <f t="shared" si="43"/>
        <v>42535</v>
      </c>
      <c r="AH894" s="11">
        <f t="shared" si="42"/>
        <v>42537</v>
      </c>
    </row>
    <row r="895" spans="30:34">
      <c r="AD895" s="10" t="s">
        <v>57</v>
      </c>
      <c r="AE895" s="11">
        <v>42531</v>
      </c>
      <c r="AF895" s="12">
        <f t="shared" si="41"/>
        <v>6</v>
      </c>
      <c r="AG895" s="11">
        <f t="shared" si="43"/>
        <v>42536</v>
      </c>
      <c r="AH895" s="11">
        <f t="shared" si="42"/>
        <v>42538</v>
      </c>
    </row>
    <row r="896" spans="30:34">
      <c r="AD896" s="10" t="s">
        <v>58</v>
      </c>
      <c r="AE896" s="11">
        <v>42532</v>
      </c>
      <c r="AF896" s="12">
        <f t="shared" si="41"/>
        <v>7</v>
      </c>
      <c r="AG896" s="11">
        <f t="shared" si="43"/>
        <v>42537</v>
      </c>
      <c r="AH896" s="11">
        <f t="shared" si="42"/>
        <v>42541</v>
      </c>
    </row>
    <row r="897" spans="30:34">
      <c r="AD897" s="10" t="s">
        <v>52</v>
      </c>
      <c r="AE897" s="11">
        <v>42533</v>
      </c>
      <c r="AF897" s="12">
        <f t="shared" si="41"/>
        <v>1</v>
      </c>
      <c r="AG897" s="11">
        <f t="shared" si="43"/>
        <v>42537</v>
      </c>
      <c r="AH897" s="11">
        <f t="shared" si="42"/>
        <v>42541</v>
      </c>
    </row>
    <row r="898" spans="30:34">
      <c r="AD898" s="10" t="s">
        <v>53</v>
      </c>
      <c r="AE898" s="11">
        <v>42534</v>
      </c>
      <c r="AF898" s="12">
        <f t="shared" si="41"/>
        <v>2</v>
      </c>
      <c r="AG898" s="11">
        <f t="shared" si="43"/>
        <v>42538</v>
      </c>
      <c r="AH898" s="11">
        <f t="shared" si="42"/>
        <v>42542</v>
      </c>
    </row>
    <row r="899" spans="30:34">
      <c r="AD899" s="10" t="s">
        <v>54</v>
      </c>
      <c r="AE899" s="11">
        <v>42535</v>
      </c>
      <c r="AF899" s="12">
        <f t="shared" si="41"/>
        <v>3</v>
      </c>
      <c r="AG899" s="11">
        <f t="shared" si="43"/>
        <v>42541</v>
      </c>
      <c r="AH899" s="11">
        <f t="shared" si="42"/>
        <v>42543</v>
      </c>
    </row>
    <row r="900" spans="30:34">
      <c r="AD900" s="10" t="s">
        <v>55</v>
      </c>
      <c r="AE900" s="11">
        <v>42536</v>
      </c>
      <c r="AF900" s="12">
        <f t="shared" si="41"/>
        <v>4</v>
      </c>
      <c r="AG900" s="11">
        <f t="shared" si="43"/>
        <v>42541</v>
      </c>
      <c r="AH900" s="11">
        <f t="shared" si="42"/>
        <v>42543</v>
      </c>
    </row>
    <row r="901" spans="30:34">
      <c r="AD901" s="10" t="s">
        <v>56</v>
      </c>
      <c r="AE901" s="11">
        <v>42537</v>
      </c>
      <c r="AF901" s="12">
        <f t="shared" ref="AF901:AF964" si="44">WEEKDAY(AE901)</f>
        <v>5</v>
      </c>
      <c r="AG901" s="11">
        <f t="shared" si="43"/>
        <v>42542</v>
      </c>
      <c r="AH901" s="11">
        <f t="shared" ref="AH901:AH964" si="45">IFERROR((WORKDAY(AG901, 2, AC$4:AC$53)), "")</f>
        <v>42544</v>
      </c>
    </row>
    <row r="902" spans="30:34">
      <c r="AD902" s="10" t="s">
        <v>57</v>
      </c>
      <c r="AE902" s="11">
        <v>42538</v>
      </c>
      <c r="AF902" s="12">
        <f t="shared" si="44"/>
        <v>6</v>
      </c>
      <c r="AG902" s="11">
        <f t="shared" si="43"/>
        <v>42543</v>
      </c>
      <c r="AH902" s="11">
        <f t="shared" si="45"/>
        <v>42545</v>
      </c>
    </row>
    <row r="903" spans="30:34">
      <c r="AD903" s="10" t="s">
        <v>58</v>
      </c>
      <c r="AE903" s="11">
        <v>42539</v>
      </c>
      <c r="AF903" s="12">
        <f t="shared" si="44"/>
        <v>7</v>
      </c>
      <c r="AG903" s="11">
        <f t="shared" si="43"/>
        <v>42544</v>
      </c>
      <c r="AH903" s="11">
        <f t="shared" si="45"/>
        <v>42548</v>
      </c>
    </row>
    <row r="904" spans="30:34">
      <c r="AD904" s="10" t="s">
        <v>52</v>
      </c>
      <c r="AE904" s="11">
        <v>42540</v>
      </c>
      <c r="AF904" s="12">
        <f t="shared" si="44"/>
        <v>1</v>
      </c>
      <c r="AG904" s="11">
        <f t="shared" si="43"/>
        <v>42544</v>
      </c>
      <c r="AH904" s="11">
        <f t="shared" si="45"/>
        <v>42548</v>
      </c>
    </row>
    <row r="905" spans="30:34">
      <c r="AD905" s="10" t="s">
        <v>53</v>
      </c>
      <c r="AE905" s="11">
        <v>42541</v>
      </c>
      <c r="AF905" s="12">
        <f t="shared" si="44"/>
        <v>2</v>
      </c>
      <c r="AG905" s="11">
        <f t="shared" si="43"/>
        <v>42545</v>
      </c>
      <c r="AH905" s="11">
        <f t="shared" si="45"/>
        <v>42549</v>
      </c>
    </row>
    <row r="906" spans="30:34">
      <c r="AD906" s="10" t="s">
        <v>54</v>
      </c>
      <c r="AE906" s="11">
        <v>42542</v>
      </c>
      <c r="AF906" s="12">
        <f t="shared" si="44"/>
        <v>3</v>
      </c>
      <c r="AG906" s="11">
        <f t="shared" si="43"/>
        <v>42548</v>
      </c>
      <c r="AH906" s="11">
        <f t="shared" si="45"/>
        <v>42550</v>
      </c>
    </row>
    <row r="907" spans="30:34">
      <c r="AD907" s="10" t="s">
        <v>55</v>
      </c>
      <c r="AE907" s="11">
        <v>42543</v>
      </c>
      <c r="AF907" s="12">
        <f t="shared" si="44"/>
        <v>4</v>
      </c>
      <c r="AG907" s="11">
        <f t="shared" si="43"/>
        <v>42548</v>
      </c>
      <c r="AH907" s="11">
        <f t="shared" si="45"/>
        <v>42550</v>
      </c>
    </row>
    <row r="908" spans="30:34">
      <c r="AD908" s="10" t="s">
        <v>56</v>
      </c>
      <c r="AE908" s="11">
        <v>42544</v>
      </c>
      <c r="AF908" s="12">
        <f t="shared" si="44"/>
        <v>5</v>
      </c>
      <c r="AG908" s="11">
        <f t="shared" si="43"/>
        <v>42549</v>
      </c>
      <c r="AH908" s="11">
        <f t="shared" si="45"/>
        <v>42551</v>
      </c>
    </row>
    <row r="909" spans="30:34">
      <c r="AD909" s="10" t="s">
        <v>57</v>
      </c>
      <c r="AE909" s="11">
        <v>42545</v>
      </c>
      <c r="AF909" s="12">
        <f t="shared" si="44"/>
        <v>6</v>
      </c>
      <c r="AG909" s="11">
        <f t="shared" si="43"/>
        <v>42550</v>
      </c>
      <c r="AH909" s="11">
        <f t="shared" si="45"/>
        <v>42552</v>
      </c>
    </row>
    <row r="910" spans="30:34">
      <c r="AD910" s="10" t="s">
        <v>58</v>
      </c>
      <c r="AE910" s="11">
        <v>42546</v>
      </c>
      <c r="AF910" s="12">
        <f t="shared" si="44"/>
        <v>7</v>
      </c>
      <c r="AG910" s="11">
        <f t="shared" si="43"/>
        <v>42551</v>
      </c>
      <c r="AH910" s="11">
        <f t="shared" si="45"/>
        <v>42556</v>
      </c>
    </row>
    <row r="911" spans="30:34">
      <c r="AD911" s="10" t="s">
        <v>52</v>
      </c>
      <c r="AE911" s="11">
        <v>42547</v>
      </c>
      <c r="AF911" s="12">
        <f t="shared" si="44"/>
        <v>1</v>
      </c>
      <c r="AG911" s="11">
        <f t="shared" si="43"/>
        <v>42551</v>
      </c>
      <c r="AH911" s="11">
        <f t="shared" si="45"/>
        <v>42556</v>
      </c>
    </row>
    <row r="912" spans="30:34">
      <c r="AD912" s="10" t="s">
        <v>53</v>
      </c>
      <c r="AE912" s="11">
        <v>42548</v>
      </c>
      <c r="AF912" s="12">
        <f t="shared" si="44"/>
        <v>2</v>
      </c>
      <c r="AG912" s="11">
        <f t="shared" si="43"/>
        <v>42552</v>
      </c>
      <c r="AH912" s="11">
        <f t="shared" si="45"/>
        <v>42557</v>
      </c>
    </row>
    <row r="913" spans="29:34">
      <c r="AD913" s="10" t="s">
        <v>54</v>
      </c>
      <c r="AE913" s="11">
        <v>42549</v>
      </c>
      <c r="AF913" s="12">
        <f t="shared" si="44"/>
        <v>3</v>
      </c>
      <c r="AG913" s="11">
        <v>42556</v>
      </c>
      <c r="AH913" s="11">
        <f t="shared" si="45"/>
        <v>42558</v>
      </c>
    </row>
    <row r="914" spans="29:34">
      <c r="AD914" s="10" t="s">
        <v>55</v>
      </c>
      <c r="AE914" s="11">
        <v>42550</v>
      </c>
      <c r="AF914" s="12">
        <f t="shared" si="44"/>
        <v>4</v>
      </c>
      <c r="AG914" s="11">
        <v>42556</v>
      </c>
      <c r="AH914" s="11">
        <f t="shared" si="45"/>
        <v>42558</v>
      </c>
    </row>
    <row r="915" spans="29:34">
      <c r="AD915" s="10" t="s">
        <v>56</v>
      </c>
      <c r="AE915" s="11">
        <v>42551</v>
      </c>
      <c r="AF915" s="12">
        <f t="shared" si="44"/>
        <v>5</v>
      </c>
      <c r="AG915" s="11">
        <v>42557</v>
      </c>
      <c r="AH915" s="11">
        <f t="shared" si="45"/>
        <v>42559</v>
      </c>
    </row>
    <row r="916" spans="29:34">
      <c r="AD916" s="10" t="s">
        <v>57</v>
      </c>
      <c r="AE916" s="11">
        <v>42552</v>
      </c>
      <c r="AF916" s="12">
        <f t="shared" si="44"/>
        <v>6</v>
      </c>
      <c r="AG916" s="11">
        <v>42558</v>
      </c>
      <c r="AH916" s="11">
        <f t="shared" si="45"/>
        <v>42562</v>
      </c>
    </row>
    <row r="917" spans="29:34">
      <c r="AC917" s="11" t="s">
        <v>51</v>
      </c>
      <c r="AD917" s="10" t="s">
        <v>58</v>
      </c>
      <c r="AE917" s="11">
        <v>42553</v>
      </c>
      <c r="AF917" s="12">
        <f t="shared" si="44"/>
        <v>7</v>
      </c>
      <c r="AG917" s="11">
        <v>42559</v>
      </c>
      <c r="AH917" s="11">
        <f t="shared" si="45"/>
        <v>42563</v>
      </c>
    </row>
    <row r="918" spans="29:34">
      <c r="AD918" s="10" t="s">
        <v>52</v>
      </c>
      <c r="AE918" s="11">
        <v>42554</v>
      </c>
      <c r="AF918" s="12">
        <f t="shared" si="44"/>
        <v>1</v>
      </c>
      <c r="AG918" s="11">
        <v>42559</v>
      </c>
      <c r="AH918" s="11">
        <f t="shared" si="45"/>
        <v>42563</v>
      </c>
    </row>
    <row r="919" spans="29:34">
      <c r="AD919" s="10" t="s">
        <v>53</v>
      </c>
      <c r="AE919" s="11">
        <v>42555</v>
      </c>
      <c r="AF919" s="12">
        <f t="shared" si="44"/>
        <v>2</v>
      </c>
      <c r="AG919" s="11">
        <f t="shared" si="43"/>
        <v>42559</v>
      </c>
      <c r="AH919" s="11">
        <f t="shared" si="45"/>
        <v>42563</v>
      </c>
    </row>
    <row r="920" spans="29:34">
      <c r="AD920" s="10" t="s">
        <v>54</v>
      </c>
      <c r="AE920" s="11">
        <v>42556</v>
      </c>
      <c r="AF920" s="12">
        <f t="shared" si="44"/>
        <v>3</v>
      </c>
      <c r="AG920" s="11">
        <f t="shared" si="43"/>
        <v>42562</v>
      </c>
      <c r="AH920" s="11">
        <f t="shared" si="45"/>
        <v>42564</v>
      </c>
    </row>
    <row r="921" spans="29:34">
      <c r="AD921" s="10" t="s">
        <v>55</v>
      </c>
      <c r="AE921" s="11">
        <v>42557</v>
      </c>
      <c r="AF921" s="12">
        <f t="shared" si="44"/>
        <v>4</v>
      </c>
      <c r="AG921" s="11">
        <f t="shared" si="43"/>
        <v>42562</v>
      </c>
      <c r="AH921" s="11">
        <f t="shared" si="45"/>
        <v>42564</v>
      </c>
    </row>
    <row r="922" spans="29:34">
      <c r="AD922" s="10" t="s">
        <v>56</v>
      </c>
      <c r="AE922" s="11">
        <v>42558</v>
      </c>
      <c r="AF922" s="12">
        <f t="shared" si="44"/>
        <v>5</v>
      </c>
      <c r="AG922" s="11">
        <f t="shared" si="43"/>
        <v>42563</v>
      </c>
      <c r="AH922" s="11">
        <f t="shared" si="45"/>
        <v>42565</v>
      </c>
    </row>
    <row r="923" spans="29:34">
      <c r="AD923" s="10" t="s">
        <v>57</v>
      </c>
      <c r="AE923" s="11">
        <v>42559</v>
      </c>
      <c r="AF923" s="12">
        <f t="shared" si="44"/>
        <v>6</v>
      </c>
      <c r="AG923" s="11">
        <f t="shared" si="43"/>
        <v>42564</v>
      </c>
      <c r="AH923" s="11">
        <f t="shared" si="45"/>
        <v>42566</v>
      </c>
    </row>
    <row r="924" spans="29:34">
      <c r="AD924" s="10" t="s">
        <v>58</v>
      </c>
      <c r="AE924" s="11">
        <v>42560</v>
      </c>
      <c r="AF924" s="12">
        <f t="shared" si="44"/>
        <v>7</v>
      </c>
      <c r="AG924" s="11">
        <f t="shared" si="43"/>
        <v>42565</v>
      </c>
      <c r="AH924" s="11">
        <f t="shared" si="45"/>
        <v>42569</v>
      </c>
    </row>
    <row r="925" spans="29:34">
      <c r="AD925" s="10" t="s">
        <v>52</v>
      </c>
      <c r="AE925" s="11">
        <v>42561</v>
      </c>
      <c r="AF925" s="12">
        <f t="shared" si="44"/>
        <v>1</v>
      </c>
      <c r="AG925" s="11">
        <f t="shared" si="43"/>
        <v>42565</v>
      </c>
      <c r="AH925" s="11">
        <f t="shared" si="45"/>
        <v>42569</v>
      </c>
    </row>
    <row r="926" spans="29:34">
      <c r="AD926" s="10" t="s">
        <v>53</v>
      </c>
      <c r="AE926" s="11">
        <v>42562</v>
      </c>
      <c r="AF926" s="12">
        <f t="shared" si="44"/>
        <v>2</v>
      </c>
      <c r="AG926" s="11">
        <f t="shared" ref="AG926:AG989" si="46">AE926+(VLOOKUP(AF926, $AJ$4:$AK$10, 2, FALSE))</f>
        <v>42566</v>
      </c>
      <c r="AH926" s="11">
        <f t="shared" si="45"/>
        <v>42570</v>
      </c>
    </row>
    <row r="927" spans="29:34">
      <c r="AD927" s="10" t="s">
        <v>54</v>
      </c>
      <c r="AE927" s="11">
        <v>42563</v>
      </c>
      <c r="AF927" s="12">
        <f t="shared" si="44"/>
        <v>3</v>
      </c>
      <c r="AG927" s="11">
        <f t="shared" si="46"/>
        <v>42569</v>
      </c>
      <c r="AH927" s="11">
        <f t="shared" si="45"/>
        <v>42571</v>
      </c>
    </row>
    <row r="928" spans="29:34">
      <c r="AD928" s="10" t="s">
        <v>55</v>
      </c>
      <c r="AE928" s="11">
        <v>42564</v>
      </c>
      <c r="AF928" s="12">
        <f t="shared" si="44"/>
        <v>4</v>
      </c>
      <c r="AG928" s="11">
        <f t="shared" si="46"/>
        <v>42569</v>
      </c>
      <c r="AH928" s="11">
        <f t="shared" si="45"/>
        <v>42571</v>
      </c>
    </row>
    <row r="929" spans="30:34">
      <c r="AD929" s="10" t="s">
        <v>56</v>
      </c>
      <c r="AE929" s="11">
        <v>42565</v>
      </c>
      <c r="AF929" s="12">
        <f t="shared" si="44"/>
        <v>5</v>
      </c>
      <c r="AG929" s="11">
        <f t="shared" si="46"/>
        <v>42570</v>
      </c>
      <c r="AH929" s="11">
        <f t="shared" si="45"/>
        <v>42572</v>
      </c>
    </row>
    <row r="930" spans="30:34">
      <c r="AD930" s="10" t="s">
        <v>57</v>
      </c>
      <c r="AE930" s="11">
        <v>42566</v>
      </c>
      <c r="AF930" s="12">
        <f t="shared" si="44"/>
        <v>6</v>
      </c>
      <c r="AG930" s="11">
        <f t="shared" si="46"/>
        <v>42571</v>
      </c>
      <c r="AH930" s="11">
        <f t="shared" si="45"/>
        <v>42573</v>
      </c>
    </row>
    <row r="931" spans="30:34">
      <c r="AD931" s="10" t="s">
        <v>58</v>
      </c>
      <c r="AE931" s="11">
        <v>42567</v>
      </c>
      <c r="AF931" s="12">
        <f t="shared" si="44"/>
        <v>7</v>
      </c>
      <c r="AG931" s="11">
        <f t="shared" si="46"/>
        <v>42572</v>
      </c>
      <c r="AH931" s="11">
        <f t="shared" si="45"/>
        <v>42576</v>
      </c>
    </row>
    <row r="932" spans="30:34">
      <c r="AD932" s="10" t="s">
        <v>52</v>
      </c>
      <c r="AE932" s="11">
        <v>42568</v>
      </c>
      <c r="AF932" s="12">
        <f t="shared" si="44"/>
        <v>1</v>
      </c>
      <c r="AG932" s="11">
        <f t="shared" si="46"/>
        <v>42572</v>
      </c>
      <c r="AH932" s="11">
        <f t="shared" si="45"/>
        <v>42576</v>
      </c>
    </row>
    <row r="933" spans="30:34">
      <c r="AD933" s="10" t="s">
        <v>53</v>
      </c>
      <c r="AE933" s="11">
        <v>42569</v>
      </c>
      <c r="AF933" s="12">
        <f t="shared" si="44"/>
        <v>2</v>
      </c>
      <c r="AG933" s="11">
        <f t="shared" si="46"/>
        <v>42573</v>
      </c>
      <c r="AH933" s="11">
        <f t="shared" si="45"/>
        <v>42577</v>
      </c>
    </row>
    <row r="934" spans="30:34">
      <c r="AD934" s="10" t="s">
        <v>54</v>
      </c>
      <c r="AE934" s="11">
        <v>42570</v>
      </c>
      <c r="AF934" s="12">
        <f t="shared" si="44"/>
        <v>3</v>
      </c>
      <c r="AG934" s="11">
        <f t="shared" si="46"/>
        <v>42576</v>
      </c>
      <c r="AH934" s="11">
        <f t="shared" si="45"/>
        <v>42578</v>
      </c>
    </row>
    <row r="935" spans="30:34">
      <c r="AD935" s="10" t="s">
        <v>55</v>
      </c>
      <c r="AE935" s="11">
        <v>42571</v>
      </c>
      <c r="AF935" s="12">
        <f t="shared" si="44"/>
        <v>4</v>
      </c>
      <c r="AG935" s="11">
        <f t="shared" si="46"/>
        <v>42576</v>
      </c>
      <c r="AH935" s="11">
        <f t="shared" si="45"/>
        <v>42578</v>
      </c>
    </row>
    <row r="936" spans="30:34">
      <c r="AD936" s="10" t="s">
        <v>56</v>
      </c>
      <c r="AE936" s="11">
        <v>42572</v>
      </c>
      <c r="AF936" s="12">
        <f t="shared" si="44"/>
        <v>5</v>
      </c>
      <c r="AG936" s="11">
        <f t="shared" si="46"/>
        <v>42577</v>
      </c>
      <c r="AH936" s="11">
        <f t="shared" si="45"/>
        <v>42579</v>
      </c>
    </row>
    <row r="937" spans="30:34">
      <c r="AD937" s="10" t="s">
        <v>57</v>
      </c>
      <c r="AE937" s="11">
        <v>42573</v>
      </c>
      <c r="AF937" s="12">
        <f t="shared" si="44"/>
        <v>6</v>
      </c>
      <c r="AG937" s="11">
        <f t="shared" si="46"/>
        <v>42578</v>
      </c>
      <c r="AH937" s="11">
        <f t="shared" si="45"/>
        <v>42580</v>
      </c>
    </row>
    <row r="938" spans="30:34">
      <c r="AD938" s="10" t="s">
        <v>58</v>
      </c>
      <c r="AE938" s="11">
        <v>42574</v>
      </c>
      <c r="AF938" s="12">
        <f t="shared" si="44"/>
        <v>7</v>
      </c>
      <c r="AG938" s="11">
        <f t="shared" si="46"/>
        <v>42579</v>
      </c>
      <c r="AH938" s="11">
        <f t="shared" si="45"/>
        <v>42583</v>
      </c>
    </row>
    <row r="939" spans="30:34">
      <c r="AD939" s="10" t="s">
        <v>52</v>
      </c>
      <c r="AE939" s="11">
        <v>42575</v>
      </c>
      <c r="AF939" s="12">
        <f t="shared" si="44"/>
        <v>1</v>
      </c>
      <c r="AG939" s="11">
        <f t="shared" si="46"/>
        <v>42579</v>
      </c>
      <c r="AH939" s="11">
        <f t="shared" si="45"/>
        <v>42583</v>
      </c>
    </row>
    <row r="940" spans="30:34">
      <c r="AD940" s="10" t="s">
        <v>53</v>
      </c>
      <c r="AE940" s="11">
        <v>42576</v>
      </c>
      <c r="AF940" s="12">
        <f t="shared" si="44"/>
        <v>2</v>
      </c>
      <c r="AG940" s="11">
        <f t="shared" si="46"/>
        <v>42580</v>
      </c>
      <c r="AH940" s="11">
        <f t="shared" si="45"/>
        <v>42584</v>
      </c>
    </row>
    <row r="941" spans="30:34">
      <c r="AD941" s="10" t="s">
        <v>54</v>
      </c>
      <c r="AE941" s="11">
        <v>42577</v>
      </c>
      <c r="AF941" s="12">
        <f t="shared" si="44"/>
        <v>3</v>
      </c>
      <c r="AG941" s="11">
        <f t="shared" si="46"/>
        <v>42583</v>
      </c>
      <c r="AH941" s="11">
        <f t="shared" si="45"/>
        <v>42585</v>
      </c>
    </row>
    <row r="942" spans="30:34">
      <c r="AD942" s="10" t="s">
        <v>55</v>
      </c>
      <c r="AE942" s="11">
        <v>42578</v>
      </c>
      <c r="AF942" s="12">
        <f t="shared" si="44"/>
        <v>4</v>
      </c>
      <c r="AG942" s="11">
        <f t="shared" si="46"/>
        <v>42583</v>
      </c>
      <c r="AH942" s="11">
        <f t="shared" si="45"/>
        <v>42585</v>
      </c>
    </row>
    <row r="943" spans="30:34">
      <c r="AD943" s="10" t="s">
        <v>56</v>
      </c>
      <c r="AE943" s="11">
        <v>42579</v>
      </c>
      <c r="AF943" s="12">
        <f t="shared" si="44"/>
        <v>5</v>
      </c>
      <c r="AG943" s="11">
        <f t="shared" si="46"/>
        <v>42584</v>
      </c>
      <c r="AH943" s="11">
        <f t="shared" si="45"/>
        <v>42586</v>
      </c>
    </row>
    <row r="944" spans="30:34">
      <c r="AD944" s="10" t="s">
        <v>57</v>
      </c>
      <c r="AE944" s="11">
        <v>42580</v>
      </c>
      <c r="AF944" s="12">
        <f t="shared" si="44"/>
        <v>6</v>
      </c>
      <c r="AG944" s="11">
        <f t="shared" si="46"/>
        <v>42585</v>
      </c>
      <c r="AH944" s="11">
        <f t="shared" si="45"/>
        <v>42587</v>
      </c>
    </row>
    <row r="945" spans="30:34">
      <c r="AD945" s="10" t="s">
        <v>58</v>
      </c>
      <c r="AE945" s="11">
        <v>42581</v>
      </c>
      <c r="AF945" s="12">
        <f t="shared" si="44"/>
        <v>7</v>
      </c>
      <c r="AG945" s="11">
        <f t="shared" si="46"/>
        <v>42586</v>
      </c>
      <c r="AH945" s="11">
        <f t="shared" si="45"/>
        <v>42590</v>
      </c>
    </row>
    <row r="946" spans="30:34">
      <c r="AD946" s="10" t="s">
        <v>52</v>
      </c>
      <c r="AE946" s="11">
        <v>42582</v>
      </c>
      <c r="AF946" s="12">
        <f t="shared" si="44"/>
        <v>1</v>
      </c>
      <c r="AG946" s="11">
        <f t="shared" si="46"/>
        <v>42586</v>
      </c>
      <c r="AH946" s="11">
        <f t="shared" si="45"/>
        <v>42590</v>
      </c>
    </row>
    <row r="947" spans="30:34">
      <c r="AD947" s="10" t="s">
        <v>53</v>
      </c>
      <c r="AE947" s="11">
        <v>42583</v>
      </c>
      <c r="AF947" s="12">
        <f t="shared" si="44"/>
        <v>2</v>
      </c>
      <c r="AG947" s="11">
        <f t="shared" si="46"/>
        <v>42587</v>
      </c>
      <c r="AH947" s="11">
        <f t="shared" si="45"/>
        <v>42591</v>
      </c>
    </row>
    <row r="948" spans="30:34">
      <c r="AD948" s="10" t="s">
        <v>54</v>
      </c>
      <c r="AE948" s="11">
        <v>42584</v>
      </c>
      <c r="AF948" s="12">
        <f t="shared" si="44"/>
        <v>3</v>
      </c>
      <c r="AG948" s="11">
        <f t="shared" si="46"/>
        <v>42590</v>
      </c>
      <c r="AH948" s="11">
        <f t="shared" si="45"/>
        <v>42592</v>
      </c>
    </row>
    <row r="949" spans="30:34">
      <c r="AD949" s="10" t="s">
        <v>55</v>
      </c>
      <c r="AE949" s="11">
        <v>42585</v>
      </c>
      <c r="AF949" s="12">
        <f t="shared" si="44"/>
        <v>4</v>
      </c>
      <c r="AG949" s="11">
        <f t="shared" si="46"/>
        <v>42590</v>
      </c>
      <c r="AH949" s="11">
        <f t="shared" si="45"/>
        <v>42592</v>
      </c>
    </row>
    <row r="950" spans="30:34">
      <c r="AD950" s="10" t="s">
        <v>56</v>
      </c>
      <c r="AE950" s="11">
        <v>42586</v>
      </c>
      <c r="AF950" s="12">
        <f t="shared" si="44"/>
        <v>5</v>
      </c>
      <c r="AG950" s="11">
        <f t="shared" si="46"/>
        <v>42591</v>
      </c>
      <c r="AH950" s="11">
        <f t="shared" si="45"/>
        <v>42593</v>
      </c>
    </row>
    <row r="951" spans="30:34">
      <c r="AD951" s="10" t="s">
        <v>57</v>
      </c>
      <c r="AE951" s="11">
        <v>42587</v>
      </c>
      <c r="AF951" s="12">
        <f t="shared" si="44"/>
        <v>6</v>
      </c>
      <c r="AG951" s="11">
        <f t="shared" si="46"/>
        <v>42592</v>
      </c>
      <c r="AH951" s="11">
        <f t="shared" si="45"/>
        <v>42594</v>
      </c>
    </row>
    <row r="952" spans="30:34">
      <c r="AD952" s="10" t="s">
        <v>58</v>
      </c>
      <c r="AE952" s="11">
        <v>42588</v>
      </c>
      <c r="AF952" s="12">
        <f t="shared" si="44"/>
        <v>7</v>
      </c>
      <c r="AG952" s="11">
        <f t="shared" si="46"/>
        <v>42593</v>
      </c>
      <c r="AH952" s="11">
        <f t="shared" si="45"/>
        <v>42597</v>
      </c>
    </row>
    <row r="953" spans="30:34">
      <c r="AD953" s="10" t="s">
        <v>52</v>
      </c>
      <c r="AE953" s="11">
        <v>42589</v>
      </c>
      <c r="AF953" s="12">
        <f t="shared" si="44"/>
        <v>1</v>
      </c>
      <c r="AG953" s="11">
        <f t="shared" si="46"/>
        <v>42593</v>
      </c>
      <c r="AH953" s="11">
        <f t="shared" si="45"/>
        <v>42597</v>
      </c>
    </row>
    <row r="954" spans="30:34">
      <c r="AD954" s="10" t="s">
        <v>53</v>
      </c>
      <c r="AE954" s="11">
        <v>42590</v>
      </c>
      <c r="AF954" s="12">
        <f t="shared" si="44"/>
        <v>2</v>
      </c>
      <c r="AG954" s="11">
        <f t="shared" si="46"/>
        <v>42594</v>
      </c>
      <c r="AH954" s="11">
        <f t="shared" si="45"/>
        <v>42598</v>
      </c>
    </row>
    <row r="955" spans="30:34">
      <c r="AD955" s="10" t="s">
        <v>54</v>
      </c>
      <c r="AE955" s="11">
        <v>42591</v>
      </c>
      <c r="AF955" s="12">
        <f t="shared" si="44"/>
        <v>3</v>
      </c>
      <c r="AG955" s="11">
        <f t="shared" si="46"/>
        <v>42597</v>
      </c>
      <c r="AH955" s="11">
        <f t="shared" si="45"/>
        <v>42599</v>
      </c>
    </row>
    <row r="956" spans="30:34">
      <c r="AD956" s="10" t="s">
        <v>55</v>
      </c>
      <c r="AE956" s="11">
        <v>42592</v>
      </c>
      <c r="AF956" s="12">
        <f t="shared" si="44"/>
        <v>4</v>
      </c>
      <c r="AG956" s="11">
        <f t="shared" si="46"/>
        <v>42597</v>
      </c>
      <c r="AH956" s="11">
        <f t="shared" si="45"/>
        <v>42599</v>
      </c>
    </row>
    <row r="957" spans="30:34">
      <c r="AD957" s="10" t="s">
        <v>56</v>
      </c>
      <c r="AE957" s="11">
        <v>42593</v>
      </c>
      <c r="AF957" s="12">
        <f t="shared" si="44"/>
        <v>5</v>
      </c>
      <c r="AG957" s="11">
        <f t="shared" si="46"/>
        <v>42598</v>
      </c>
      <c r="AH957" s="11">
        <f t="shared" si="45"/>
        <v>42600</v>
      </c>
    </row>
    <row r="958" spans="30:34">
      <c r="AD958" s="10" t="s">
        <v>57</v>
      </c>
      <c r="AE958" s="11">
        <v>42594</v>
      </c>
      <c r="AF958" s="12">
        <f t="shared" si="44"/>
        <v>6</v>
      </c>
      <c r="AG958" s="11">
        <f t="shared" si="46"/>
        <v>42599</v>
      </c>
      <c r="AH958" s="11">
        <f t="shared" si="45"/>
        <v>42601</v>
      </c>
    </row>
    <row r="959" spans="30:34">
      <c r="AD959" s="10" t="s">
        <v>58</v>
      </c>
      <c r="AE959" s="11">
        <v>42595</v>
      </c>
      <c r="AF959" s="12">
        <f t="shared" si="44"/>
        <v>7</v>
      </c>
      <c r="AG959" s="11">
        <f t="shared" si="46"/>
        <v>42600</v>
      </c>
      <c r="AH959" s="11">
        <f t="shared" si="45"/>
        <v>42604</v>
      </c>
    </row>
    <row r="960" spans="30:34">
      <c r="AD960" s="10" t="s">
        <v>52</v>
      </c>
      <c r="AE960" s="11">
        <v>42596</v>
      </c>
      <c r="AF960" s="12">
        <f t="shared" si="44"/>
        <v>1</v>
      </c>
      <c r="AG960" s="11">
        <f t="shared" si="46"/>
        <v>42600</v>
      </c>
      <c r="AH960" s="11">
        <f t="shared" si="45"/>
        <v>42604</v>
      </c>
    </row>
    <row r="961" spans="30:34">
      <c r="AD961" s="10" t="s">
        <v>53</v>
      </c>
      <c r="AE961" s="11">
        <v>42597</v>
      </c>
      <c r="AF961" s="12">
        <f t="shared" si="44"/>
        <v>2</v>
      </c>
      <c r="AG961" s="11">
        <f t="shared" si="46"/>
        <v>42601</v>
      </c>
      <c r="AH961" s="11">
        <f t="shared" si="45"/>
        <v>42605</v>
      </c>
    </row>
    <row r="962" spans="30:34">
      <c r="AD962" s="10" t="s">
        <v>54</v>
      </c>
      <c r="AE962" s="11">
        <v>42598</v>
      </c>
      <c r="AF962" s="12">
        <f t="shared" si="44"/>
        <v>3</v>
      </c>
      <c r="AG962" s="11">
        <f t="shared" si="46"/>
        <v>42604</v>
      </c>
      <c r="AH962" s="11">
        <f t="shared" si="45"/>
        <v>42606</v>
      </c>
    </row>
    <row r="963" spans="30:34">
      <c r="AD963" s="10" t="s">
        <v>55</v>
      </c>
      <c r="AE963" s="11">
        <v>42599</v>
      </c>
      <c r="AF963" s="12">
        <f t="shared" si="44"/>
        <v>4</v>
      </c>
      <c r="AG963" s="11">
        <f t="shared" si="46"/>
        <v>42604</v>
      </c>
      <c r="AH963" s="11">
        <f t="shared" si="45"/>
        <v>42606</v>
      </c>
    </row>
    <row r="964" spans="30:34">
      <c r="AD964" s="10" t="s">
        <v>56</v>
      </c>
      <c r="AE964" s="11">
        <v>42600</v>
      </c>
      <c r="AF964" s="12">
        <f t="shared" si="44"/>
        <v>5</v>
      </c>
      <c r="AG964" s="11">
        <f t="shared" si="46"/>
        <v>42605</v>
      </c>
      <c r="AH964" s="11">
        <f t="shared" si="45"/>
        <v>42607</v>
      </c>
    </row>
    <row r="965" spans="30:34">
      <c r="AD965" s="10" t="s">
        <v>57</v>
      </c>
      <c r="AE965" s="11">
        <v>42601</v>
      </c>
      <c r="AF965" s="12">
        <f t="shared" ref="AF965:AF1028" si="47">WEEKDAY(AE965)</f>
        <v>6</v>
      </c>
      <c r="AG965" s="11">
        <f t="shared" si="46"/>
        <v>42606</v>
      </c>
      <c r="AH965" s="11">
        <f t="shared" ref="AH965:AH1028" si="48">IFERROR((WORKDAY(AG965, 2, AC$4:AC$53)), "")</f>
        <v>42608</v>
      </c>
    </row>
    <row r="966" spans="30:34">
      <c r="AD966" s="10" t="s">
        <v>58</v>
      </c>
      <c r="AE966" s="11">
        <v>42602</v>
      </c>
      <c r="AF966" s="12">
        <f t="shared" si="47"/>
        <v>7</v>
      </c>
      <c r="AG966" s="11">
        <f t="shared" si="46"/>
        <v>42607</v>
      </c>
      <c r="AH966" s="11">
        <f t="shared" si="48"/>
        <v>42611</v>
      </c>
    </row>
    <row r="967" spans="30:34">
      <c r="AD967" s="10" t="s">
        <v>52</v>
      </c>
      <c r="AE967" s="11">
        <v>42603</v>
      </c>
      <c r="AF967" s="12">
        <f t="shared" si="47"/>
        <v>1</v>
      </c>
      <c r="AG967" s="11">
        <f t="shared" si="46"/>
        <v>42607</v>
      </c>
      <c r="AH967" s="11">
        <f t="shared" si="48"/>
        <v>42611</v>
      </c>
    </row>
    <row r="968" spans="30:34">
      <c r="AD968" s="10" t="s">
        <v>53</v>
      </c>
      <c r="AE968" s="11">
        <v>42604</v>
      </c>
      <c r="AF968" s="12">
        <f t="shared" si="47"/>
        <v>2</v>
      </c>
      <c r="AG968" s="11">
        <f t="shared" si="46"/>
        <v>42608</v>
      </c>
      <c r="AH968" s="11">
        <f t="shared" si="48"/>
        <v>42612</v>
      </c>
    </row>
    <row r="969" spans="30:34">
      <c r="AD969" s="10" t="s">
        <v>54</v>
      </c>
      <c r="AE969" s="11">
        <v>42605</v>
      </c>
      <c r="AF969" s="12">
        <f t="shared" si="47"/>
        <v>3</v>
      </c>
      <c r="AG969" s="11">
        <f t="shared" si="46"/>
        <v>42611</v>
      </c>
      <c r="AH969" s="11">
        <f t="shared" si="48"/>
        <v>42613</v>
      </c>
    </row>
    <row r="970" spans="30:34">
      <c r="AD970" s="10" t="s">
        <v>55</v>
      </c>
      <c r="AE970" s="11">
        <v>42606</v>
      </c>
      <c r="AF970" s="12">
        <f t="shared" si="47"/>
        <v>4</v>
      </c>
      <c r="AG970" s="11">
        <f t="shared" si="46"/>
        <v>42611</v>
      </c>
      <c r="AH970" s="11">
        <f t="shared" si="48"/>
        <v>42613</v>
      </c>
    </row>
    <row r="971" spans="30:34">
      <c r="AD971" s="10" t="s">
        <v>56</v>
      </c>
      <c r="AE971" s="11">
        <v>42607</v>
      </c>
      <c r="AF971" s="12">
        <f t="shared" si="47"/>
        <v>5</v>
      </c>
      <c r="AG971" s="11">
        <f t="shared" si="46"/>
        <v>42612</v>
      </c>
      <c r="AH971" s="11">
        <f t="shared" si="48"/>
        <v>42614</v>
      </c>
    </row>
    <row r="972" spans="30:34">
      <c r="AD972" s="10" t="s">
        <v>57</v>
      </c>
      <c r="AE972" s="11">
        <v>42608</v>
      </c>
      <c r="AF972" s="12">
        <f t="shared" si="47"/>
        <v>6</v>
      </c>
      <c r="AG972" s="11">
        <f t="shared" si="46"/>
        <v>42613</v>
      </c>
      <c r="AH972" s="11">
        <f t="shared" si="48"/>
        <v>42615</v>
      </c>
    </row>
    <row r="973" spans="30:34">
      <c r="AD973" s="10" t="s">
        <v>58</v>
      </c>
      <c r="AE973" s="11">
        <v>42609</v>
      </c>
      <c r="AF973" s="12">
        <f t="shared" si="47"/>
        <v>7</v>
      </c>
      <c r="AG973" s="11">
        <f t="shared" si="46"/>
        <v>42614</v>
      </c>
      <c r="AH973" s="11">
        <f t="shared" si="48"/>
        <v>42619</v>
      </c>
    </row>
    <row r="974" spans="30:34">
      <c r="AD974" s="10" t="s">
        <v>52</v>
      </c>
      <c r="AE974" s="11">
        <v>42610</v>
      </c>
      <c r="AF974" s="12">
        <f t="shared" si="47"/>
        <v>1</v>
      </c>
      <c r="AG974" s="11">
        <f t="shared" si="46"/>
        <v>42614</v>
      </c>
      <c r="AH974" s="11">
        <f t="shared" si="48"/>
        <v>42619</v>
      </c>
    </row>
    <row r="975" spans="30:34">
      <c r="AD975" s="10" t="s">
        <v>53</v>
      </c>
      <c r="AE975" s="11">
        <v>42611</v>
      </c>
      <c r="AF975" s="12">
        <f t="shared" si="47"/>
        <v>2</v>
      </c>
      <c r="AG975" s="11">
        <f t="shared" si="46"/>
        <v>42615</v>
      </c>
      <c r="AH975" s="11">
        <f t="shared" si="48"/>
        <v>42620</v>
      </c>
    </row>
    <row r="976" spans="30:34">
      <c r="AD976" s="10" t="s">
        <v>54</v>
      </c>
      <c r="AE976" s="11">
        <v>42612</v>
      </c>
      <c r="AF976" s="12">
        <f t="shared" si="47"/>
        <v>3</v>
      </c>
      <c r="AG976" s="11">
        <v>42619</v>
      </c>
      <c r="AH976" s="11">
        <f t="shared" si="48"/>
        <v>42621</v>
      </c>
    </row>
    <row r="977" spans="30:34">
      <c r="AD977" s="10" t="s">
        <v>55</v>
      </c>
      <c r="AE977" s="11">
        <v>42613</v>
      </c>
      <c r="AF977" s="12">
        <f t="shared" si="47"/>
        <v>4</v>
      </c>
      <c r="AG977" s="11">
        <v>42619</v>
      </c>
      <c r="AH977" s="11">
        <f t="shared" si="48"/>
        <v>42621</v>
      </c>
    </row>
    <row r="978" spans="30:34">
      <c r="AD978" s="10" t="s">
        <v>56</v>
      </c>
      <c r="AE978" s="11">
        <v>42614</v>
      </c>
      <c r="AF978" s="12">
        <f t="shared" si="47"/>
        <v>5</v>
      </c>
      <c r="AG978" s="11">
        <v>42620</v>
      </c>
      <c r="AH978" s="11">
        <f t="shared" si="48"/>
        <v>42622</v>
      </c>
    </row>
    <row r="979" spans="30:34">
      <c r="AD979" s="10" t="s">
        <v>57</v>
      </c>
      <c r="AE979" s="11">
        <v>42615</v>
      </c>
      <c r="AF979" s="12">
        <f t="shared" si="47"/>
        <v>6</v>
      </c>
      <c r="AG979" s="11">
        <v>42621</v>
      </c>
      <c r="AH979" s="11">
        <f t="shared" si="48"/>
        <v>42625</v>
      </c>
    </row>
    <row r="980" spans="30:34">
      <c r="AD980" s="10" t="s">
        <v>58</v>
      </c>
      <c r="AE980" s="11">
        <v>42616</v>
      </c>
      <c r="AF980" s="12">
        <f t="shared" si="47"/>
        <v>7</v>
      </c>
      <c r="AG980" s="11">
        <v>42622</v>
      </c>
      <c r="AH980" s="11">
        <f t="shared" si="48"/>
        <v>42626</v>
      </c>
    </row>
    <row r="981" spans="30:34">
      <c r="AD981" s="10" t="s">
        <v>52</v>
      </c>
      <c r="AE981" s="11">
        <v>42617</v>
      </c>
      <c r="AF981" s="12">
        <f t="shared" si="47"/>
        <v>1</v>
      </c>
      <c r="AG981" s="11">
        <v>42622</v>
      </c>
      <c r="AH981" s="11">
        <f t="shared" si="48"/>
        <v>42626</v>
      </c>
    </row>
    <row r="982" spans="30:34">
      <c r="AD982" s="10" t="s">
        <v>53</v>
      </c>
      <c r="AE982" s="11">
        <v>42618</v>
      </c>
      <c r="AF982" s="12">
        <f t="shared" si="47"/>
        <v>2</v>
      </c>
      <c r="AG982" s="11">
        <f t="shared" si="46"/>
        <v>42622</v>
      </c>
      <c r="AH982" s="11">
        <f t="shared" si="48"/>
        <v>42626</v>
      </c>
    </row>
    <row r="983" spans="30:34">
      <c r="AD983" s="10" t="s">
        <v>54</v>
      </c>
      <c r="AE983" s="11">
        <v>42619</v>
      </c>
      <c r="AF983" s="12">
        <f t="shared" si="47"/>
        <v>3</v>
      </c>
      <c r="AG983" s="11">
        <f t="shared" si="46"/>
        <v>42625</v>
      </c>
      <c r="AH983" s="11">
        <f t="shared" si="48"/>
        <v>42627</v>
      </c>
    </row>
    <row r="984" spans="30:34">
      <c r="AD984" s="10" t="s">
        <v>55</v>
      </c>
      <c r="AE984" s="11">
        <v>42620</v>
      </c>
      <c r="AF984" s="12">
        <f t="shared" si="47"/>
        <v>4</v>
      </c>
      <c r="AG984" s="11">
        <f t="shared" si="46"/>
        <v>42625</v>
      </c>
      <c r="AH984" s="11">
        <f t="shared" si="48"/>
        <v>42627</v>
      </c>
    </row>
    <row r="985" spans="30:34">
      <c r="AD985" s="10" t="s">
        <v>56</v>
      </c>
      <c r="AE985" s="11">
        <v>42621</v>
      </c>
      <c r="AF985" s="12">
        <f t="shared" si="47"/>
        <v>5</v>
      </c>
      <c r="AG985" s="11">
        <f t="shared" si="46"/>
        <v>42626</v>
      </c>
      <c r="AH985" s="11">
        <f t="shared" si="48"/>
        <v>42628</v>
      </c>
    </row>
    <row r="986" spans="30:34">
      <c r="AD986" s="10" t="s">
        <v>57</v>
      </c>
      <c r="AE986" s="11">
        <v>42622</v>
      </c>
      <c r="AF986" s="12">
        <f t="shared" si="47"/>
        <v>6</v>
      </c>
      <c r="AG986" s="11">
        <f t="shared" si="46"/>
        <v>42627</v>
      </c>
      <c r="AH986" s="11">
        <f t="shared" si="48"/>
        <v>42629</v>
      </c>
    </row>
    <row r="987" spans="30:34">
      <c r="AD987" s="10" t="s">
        <v>58</v>
      </c>
      <c r="AE987" s="11">
        <v>42623</v>
      </c>
      <c r="AF987" s="12">
        <f t="shared" si="47"/>
        <v>7</v>
      </c>
      <c r="AG987" s="11">
        <f t="shared" si="46"/>
        <v>42628</v>
      </c>
      <c r="AH987" s="11">
        <f t="shared" si="48"/>
        <v>42632</v>
      </c>
    </row>
    <row r="988" spans="30:34">
      <c r="AD988" s="10" t="s">
        <v>52</v>
      </c>
      <c r="AE988" s="11">
        <v>42624</v>
      </c>
      <c r="AF988" s="12">
        <f t="shared" si="47"/>
        <v>1</v>
      </c>
      <c r="AG988" s="11">
        <f t="shared" si="46"/>
        <v>42628</v>
      </c>
      <c r="AH988" s="11">
        <f t="shared" si="48"/>
        <v>42632</v>
      </c>
    </row>
    <row r="989" spans="30:34">
      <c r="AD989" s="10" t="s">
        <v>53</v>
      </c>
      <c r="AE989" s="11">
        <v>42625</v>
      </c>
      <c r="AF989" s="12">
        <f t="shared" si="47"/>
        <v>2</v>
      </c>
      <c r="AG989" s="11">
        <f t="shared" si="46"/>
        <v>42629</v>
      </c>
      <c r="AH989" s="11">
        <f t="shared" si="48"/>
        <v>42633</v>
      </c>
    </row>
    <row r="990" spans="30:34">
      <c r="AD990" s="10" t="s">
        <v>54</v>
      </c>
      <c r="AE990" s="11">
        <v>42626</v>
      </c>
      <c r="AF990" s="12">
        <f t="shared" si="47"/>
        <v>3</v>
      </c>
      <c r="AG990" s="11">
        <f t="shared" ref="AG990:AG1053" si="49">AE990+(VLOOKUP(AF990, $AJ$4:$AK$10, 2, FALSE))</f>
        <v>42632</v>
      </c>
      <c r="AH990" s="11">
        <f t="shared" si="48"/>
        <v>42634</v>
      </c>
    </row>
    <row r="991" spans="30:34">
      <c r="AD991" s="10" t="s">
        <v>55</v>
      </c>
      <c r="AE991" s="11">
        <v>42627</v>
      </c>
      <c r="AF991" s="12">
        <f t="shared" si="47"/>
        <v>4</v>
      </c>
      <c r="AG991" s="11">
        <f t="shared" si="49"/>
        <v>42632</v>
      </c>
      <c r="AH991" s="11">
        <f t="shared" si="48"/>
        <v>42634</v>
      </c>
    </row>
    <row r="992" spans="30:34">
      <c r="AD992" s="10" t="s">
        <v>56</v>
      </c>
      <c r="AE992" s="11">
        <v>42628</v>
      </c>
      <c r="AF992" s="12">
        <f t="shared" si="47"/>
        <v>5</v>
      </c>
      <c r="AG992" s="11">
        <f t="shared" si="49"/>
        <v>42633</v>
      </c>
      <c r="AH992" s="11">
        <f t="shared" si="48"/>
        <v>42635</v>
      </c>
    </row>
    <row r="993" spans="30:34">
      <c r="AD993" s="10" t="s">
        <v>57</v>
      </c>
      <c r="AE993" s="11">
        <v>42629</v>
      </c>
      <c r="AF993" s="12">
        <f t="shared" si="47"/>
        <v>6</v>
      </c>
      <c r="AG993" s="11">
        <f t="shared" si="49"/>
        <v>42634</v>
      </c>
      <c r="AH993" s="11">
        <f t="shared" si="48"/>
        <v>42636</v>
      </c>
    </row>
    <row r="994" spans="30:34">
      <c r="AD994" s="10" t="s">
        <v>58</v>
      </c>
      <c r="AE994" s="11">
        <v>42630</v>
      </c>
      <c r="AF994" s="12">
        <f t="shared" si="47"/>
        <v>7</v>
      </c>
      <c r="AG994" s="11">
        <f t="shared" si="49"/>
        <v>42635</v>
      </c>
      <c r="AH994" s="11">
        <f t="shared" si="48"/>
        <v>42639</v>
      </c>
    </row>
    <row r="995" spans="30:34">
      <c r="AD995" s="10" t="s">
        <v>52</v>
      </c>
      <c r="AE995" s="11">
        <v>42631</v>
      </c>
      <c r="AF995" s="12">
        <f t="shared" si="47"/>
        <v>1</v>
      </c>
      <c r="AG995" s="11">
        <f t="shared" si="49"/>
        <v>42635</v>
      </c>
      <c r="AH995" s="11">
        <f t="shared" si="48"/>
        <v>42639</v>
      </c>
    </row>
    <row r="996" spans="30:34">
      <c r="AD996" s="10" t="s">
        <v>53</v>
      </c>
      <c r="AE996" s="11">
        <v>42632</v>
      </c>
      <c r="AF996" s="12">
        <f t="shared" si="47"/>
        <v>2</v>
      </c>
      <c r="AG996" s="11">
        <f t="shared" si="49"/>
        <v>42636</v>
      </c>
      <c r="AH996" s="11">
        <f t="shared" si="48"/>
        <v>42640</v>
      </c>
    </row>
    <row r="997" spans="30:34">
      <c r="AD997" s="10" t="s">
        <v>54</v>
      </c>
      <c r="AE997" s="11">
        <v>42633</v>
      </c>
      <c r="AF997" s="12">
        <f t="shared" si="47"/>
        <v>3</v>
      </c>
      <c r="AG997" s="11">
        <f t="shared" si="49"/>
        <v>42639</v>
      </c>
      <c r="AH997" s="11">
        <f t="shared" si="48"/>
        <v>42641</v>
      </c>
    </row>
    <row r="998" spans="30:34">
      <c r="AD998" s="10" t="s">
        <v>55</v>
      </c>
      <c r="AE998" s="11">
        <v>42634</v>
      </c>
      <c r="AF998" s="12">
        <f t="shared" si="47"/>
        <v>4</v>
      </c>
      <c r="AG998" s="11">
        <f t="shared" si="49"/>
        <v>42639</v>
      </c>
      <c r="AH998" s="11">
        <f t="shared" si="48"/>
        <v>42641</v>
      </c>
    </row>
    <row r="999" spans="30:34">
      <c r="AD999" s="10" t="s">
        <v>56</v>
      </c>
      <c r="AE999" s="11">
        <v>42635</v>
      </c>
      <c r="AF999" s="12">
        <f t="shared" si="47"/>
        <v>5</v>
      </c>
      <c r="AG999" s="11">
        <f t="shared" si="49"/>
        <v>42640</v>
      </c>
      <c r="AH999" s="11">
        <f t="shared" si="48"/>
        <v>42642</v>
      </c>
    </row>
    <row r="1000" spans="30:34">
      <c r="AD1000" s="10" t="s">
        <v>57</v>
      </c>
      <c r="AE1000" s="11">
        <v>42636</v>
      </c>
      <c r="AF1000" s="12">
        <f t="shared" si="47"/>
        <v>6</v>
      </c>
      <c r="AG1000" s="11">
        <f t="shared" si="49"/>
        <v>42641</v>
      </c>
      <c r="AH1000" s="11">
        <f t="shared" si="48"/>
        <v>42643</v>
      </c>
    </row>
    <row r="1001" spans="30:34">
      <c r="AD1001" s="10" t="s">
        <v>58</v>
      </c>
      <c r="AE1001" s="11">
        <v>42637</v>
      </c>
      <c r="AF1001" s="12">
        <f t="shared" si="47"/>
        <v>7</v>
      </c>
      <c r="AG1001" s="11">
        <f t="shared" si="49"/>
        <v>42642</v>
      </c>
      <c r="AH1001" s="11">
        <f t="shared" si="48"/>
        <v>42646</v>
      </c>
    </row>
    <row r="1002" spans="30:34">
      <c r="AD1002" s="10" t="s">
        <v>52</v>
      </c>
      <c r="AE1002" s="11">
        <v>42638</v>
      </c>
      <c r="AF1002" s="12">
        <f t="shared" si="47"/>
        <v>1</v>
      </c>
      <c r="AG1002" s="11">
        <f t="shared" si="49"/>
        <v>42642</v>
      </c>
      <c r="AH1002" s="11">
        <f t="shared" si="48"/>
        <v>42646</v>
      </c>
    </row>
    <row r="1003" spans="30:34">
      <c r="AD1003" s="10" t="s">
        <v>53</v>
      </c>
      <c r="AE1003" s="11">
        <v>42639</v>
      </c>
      <c r="AF1003" s="12">
        <f t="shared" si="47"/>
        <v>2</v>
      </c>
      <c r="AG1003" s="11">
        <f t="shared" si="49"/>
        <v>42643</v>
      </c>
      <c r="AH1003" s="11">
        <f t="shared" si="48"/>
        <v>42647</v>
      </c>
    </row>
    <row r="1004" spans="30:34">
      <c r="AD1004" s="10" t="s">
        <v>54</v>
      </c>
      <c r="AE1004" s="11">
        <v>42640</v>
      </c>
      <c r="AF1004" s="12">
        <f t="shared" si="47"/>
        <v>3</v>
      </c>
      <c r="AG1004" s="11">
        <f t="shared" si="49"/>
        <v>42646</v>
      </c>
      <c r="AH1004" s="11">
        <f t="shared" si="48"/>
        <v>42648</v>
      </c>
    </row>
    <row r="1005" spans="30:34">
      <c r="AD1005" s="10" t="s">
        <v>55</v>
      </c>
      <c r="AE1005" s="11">
        <v>42641</v>
      </c>
      <c r="AF1005" s="12">
        <f t="shared" si="47"/>
        <v>4</v>
      </c>
      <c r="AG1005" s="11">
        <f t="shared" si="49"/>
        <v>42646</v>
      </c>
      <c r="AH1005" s="11">
        <f t="shared" si="48"/>
        <v>42648</v>
      </c>
    </row>
    <row r="1006" spans="30:34">
      <c r="AD1006" s="10" t="s">
        <v>56</v>
      </c>
      <c r="AE1006" s="11">
        <v>42642</v>
      </c>
      <c r="AF1006" s="12">
        <f t="shared" si="47"/>
        <v>5</v>
      </c>
      <c r="AG1006" s="11">
        <f t="shared" si="49"/>
        <v>42647</v>
      </c>
      <c r="AH1006" s="11">
        <f t="shared" si="48"/>
        <v>42649</v>
      </c>
    </row>
    <row r="1007" spans="30:34">
      <c r="AD1007" s="10" t="s">
        <v>57</v>
      </c>
      <c r="AE1007" s="11">
        <v>42643</v>
      </c>
      <c r="AF1007" s="12">
        <f t="shared" si="47"/>
        <v>6</v>
      </c>
      <c r="AG1007" s="11">
        <f t="shared" si="49"/>
        <v>42648</v>
      </c>
      <c r="AH1007" s="11">
        <f t="shared" si="48"/>
        <v>42650</v>
      </c>
    </row>
    <row r="1008" spans="30:34">
      <c r="AD1008" s="10" t="s">
        <v>58</v>
      </c>
      <c r="AE1008" s="11">
        <v>42644</v>
      </c>
      <c r="AF1008" s="12">
        <f t="shared" si="47"/>
        <v>7</v>
      </c>
      <c r="AG1008" s="11">
        <f t="shared" si="49"/>
        <v>42649</v>
      </c>
      <c r="AH1008" s="11">
        <f t="shared" si="48"/>
        <v>42654</v>
      </c>
    </row>
    <row r="1009" spans="30:34">
      <c r="AD1009" s="10" t="s">
        <v>52</v>
      </c>
      <c r="AE1009" s="11">
        <v>42645</v>
      </c>
      <c r="AF1009" s="12">
        <f t="shared" si="47"/>
        <v>1</v>
      </c>
      <c r="AG1009" s="11">
        <f t="shared" si="49"/>
        <v>42649</v>
      </c>
      <c r="AH1009" s="11">
        <f t="shared" si="48"/>
        <v>42654</v>
      </c>
    </row>
    <row r="1010" spans="30:34">
      <c r="AD1010" s="10" t="s">
        <v>53</v>
      </c>
      <c r="AE1010" s="11">
        <v>42646</v>
      </c>
      <c r="AF1010" s="12">
        <f t="shared" si="47"/>
        <v>2</v>
      </c>
      <c r="AG1010" s="11">
        <f t="shared" si="49"/>
        <v>42650</v>
      </c>
      <c r="AH1010" s="11">
        <f t="shared" si="48"/>
        <v>42655</v>
      </c>
    </row>
    <row r="1011" spans="30:34">
      <c r="AD1011" s="10" t="s">
        <v>54</v>
      </c>
      <c r="AE1011" s="11">
        <v>42647</v>
      </c>
      <c r="AF1011" s="12">
        <f t="shared" si="47"/>
        <v>3</v>
      </c>
      <c r="AG1011" s="11">
        <v>42654</v>
      </c>
      <c r="AH1011" s="11">
        <f t="shared" si="48"/>
        <v>42656</v>
      </c>
    </row>
    <row r="1012" spans="30:34">
      <c r="AD1012" s="10" t="s">
        <v>55</v>
      </c>
      <c r="AE1012" s="11">
        <v>42648</v>
      </c>
      <c r="AF1012" s="12">
        <f t="shared" si="47"/>
        <v>4</v>
      </c>
      <c r="AG1012" s="11">
        <v>42654</v>
      </c>
      <c r="AH1012" s="11">
        <f t="shared" si="48"/>
        <v>42656</v>
      </c>
    </row>
    <row r="1013" spans="30:34">
      <c r="AD1013" s="10" t="s">
        <v>56</v>
      </c>
      <c r="AE1013" s="11">
        <v>42649</v>
      </c>
      <c r="AF1013" s="12">
        <f t="shared" si="47"/>
        <v>5</v>
      </c>
      <c r="AG1013" s="11">
        <v>42655</v>
      </c>
      <c r="AH1013" s="11">
        <f t="shared" si="48"/>
        <v>42657</v>
      </c>
    </row>
    <row r="1014" spans="30:34">
      <c r="AD1014" s="10" t="s">
        <v>57</v>
      </c>
      <c r="AE1014" s="11">
        <v>42650</v>
      </c>
      <c r="AF1014" s="12">
        <f t="shared" si="47"/>
        <v>6</v>
      </c>
      <c r="AG1014" s="11">
        <v>42656</v>
      </c>
      <c r="AH1014" s="11">
        <f t="shared" si="48"/>
        <v>42660</v>
      </c>
    </row>
    <row r="1015" spans="30:34">
      <c r="AD1015" s="10" t="s">
        <v>58</v>
      </c>
      <c r="AE1015" s="11">
        <v>42651</v>
      </c>
      <c r="AF1015" s="12">
        <f t="shared" si="47"/>
        <v>7</v>
      </c>
      <c r="AG1015" s="11">
        <v>42657</v>
      </c>
      <c r="AH1015" s="11">
        <f t="shared" si="48"/>
        <v>42661</v>
      </c>
    </row>
    <row r="1016" spans="30:34">
      <c r="AD1016" s="10" t="s">
        <v>52</v>
      </c>
      <c r="AE1016" s="11">
        <v>42652</v>
      </c>
      <c r="AF1016" s="12">
        <f t="shared" si="47"/>
        <v>1</v>
      </c>
      <c r="AG1016" s="11">
        <v>42657</v>
      </c>
      <c r="AH1016" s="11">
        <f t="shared" si="48"/>
        <v>42661</v>
      </c>
    </row>
    <row r="1017" spans="30:34">
      <c r="AD1017" s="10" t="s">
        <v>53</v>
      </c>
      <c r="AE1017" s="11">
        <v>42653</v>
      </c>
      <c r="AF1017" s="12">
        <f t="shared" si="47"/>
        <v>2</v>
      </c>
      <c r="AG1017" s="11">
        <f t="shared" si="49"/>
        <v>42657</v>
      </c>
      <c r="AH1017" s="11">
        <f t="shared" si="48"/>
        <v>42661</v>
      </c>
    </row>
    <row r="1018" spans="30:34">
      <c r="AD1018" s="10" t="s">
        <v>54</v>
      </c>
      <c r="AE1018" s="11">
        <v>42654</v>
      </c>
      <c r="AF1018" s="12">
        <f t="shared" si="47"/>
        <v>3</v>
      </c>
      <c r="AG1018" s="11">
        <f t="shared" si="49"/>
        <v>42660</v>
      </c>
      <c r="AH1018" s="11">
        <f t="shared" si="48"/>
        <v>42662</v>
      </c>
    </row>
    <row r="1019" spans="30:34">
      <c r="AD1019" s="10" t="s">
        <v>55</v>
      </c>
      <c r="AE1019" s="11">
        <v>42655</v>
      </c>
      <c r="AF1019" s="12">
        <f t="shared" si="47"/>
        <v>4</v>
      </c>
      <c r="AG1019" s="11">
        <f t="shared" si="49"/>
        <v>42660</v>
      </c>
      <c r="AH1019" s="11">
        <f t="shared" si="48"/>
        <v>42662</v>
      </c>
    </row>
    <row r="1020" spans="30:34">
      <c r="AD1020" s="10" t="s">
        <v>56</v>
      </c>
      <c r="AE1020" s="11">
        <v>42656</v>
      </c>
      <c r="AF1020" s="12">
        <f t="shared" si="47"/>
        <v>5</v>
      </c>
      <c r="AG1020" s="11">
        <f t="shared" si="49"/>
        <v>42661</v>
      </c>
      <c r="AH1020" s="11">
        <f t="shared" si="48"/>
        <v>42663</v>
      </c>
    </row>
    <row r="1021" spans="30:34">
      <c r="AD1021" s="10" t="s">
        <v>57</v>
      </c>
      <c r="AE1021" s="11">
        <v>42657</v>
      </c>
      <c r="AF1021" s="12">
        <f t="shared" si="47"/>
        <v>6</v>
      </c>
      <c r="AG1021" s="11">
        <f t="shared" si="49"/>
        <v>42662</v>
      </c>
      <c r="AH1021" s="11">
        <f t="shared" si="48"/>
        <v>42664</v>
      </c>
    </row>
    <row r="1022" spans="30:34">
      <c r="AD1022" s="10" t="s">
        <v>58</v>
      </c>
      <c r="AE1022" s="11">
        <v>42658</v>
      </c>
      <c r="AF1022" s="12">
        <f t="shared" si="47"/>
        <v>7</v>
      </c>
      <c r="AG1022" s="11">
        <f t="shared" si="49"/>
        <v>42663</v>
      </c>
      <c r="AH1022" s="11">
        <f t="shared" si="48"/>
        <v>42667</v>
      </c>
    </row>
    <row r="1023" spans="30:34">
      <c r="AD1023" s="10" t="s">
        <v>52</v>
      </c>
      <c r="AE1023" s="11">
        <v>42659</v>
      </c>
      <c r="AF1023" s="12">
        <f t="shared" si="47"/>
        <v>1</v>
      </c>
      <c r="AG1023" s="11">
        <f t="shared" si="49"/>
        <v>42663</v>
      </c>
      <c r="AH1023" s="11">
        <f t="shared" si="48"/>
        <v>42667</v>
      </c>
    </row>
    <row r="1024" spans="30:34">
      <c r="AD1024" s="10" t="s">
        <v>53</v>
      </c>
      <c r="AE1024" s="11">
        <v>42660</v>
      </c>
      <c r="AF1024" s="12">
        <f t="shared" si="47"/>
        <v>2</v>
      </c>
      <c r="AG1024" s="11">
        <f t="shared" si="49"/>
        <v>42664</v>
      </c>
      <c r="AH1024" s="11">
        <f t="shared" si="48"/>
        <v>42668</v>
      </c>
    </row>
    <row r="1025" spans="30:34">
      <c r="AD1025" s="10" t="s">
        <v>54</v>
      </c>
      <c r="AE1025" s="11">
        <v>42661</v>
      </c>
      <c r="AF1025" s="12">
        <f t="shared" si="47"/>
        <v>3</v>
      </c>
      <c r="AG1025" s="11">
        <f t="shared" si="49"/>
        <v>42667</v>
      </c>
      <c r="AH1025" s="11">
        <f t="shared" si="48"/>
        <v>42669</v>
      </c>
    </row>
    <row r="1026" spans="30:34">
      <c r="AD1026" s="10" t="s">
        <v>55</v>
      </c>
      <c r="AE1026" s="11">
        <v>42662</v>
      </c>
      <c r="AF1026" s="12">
        <f t="shared" si="47"/>
        <v>4</v>
      </c>
      <c r="AG1026" s="11">
        <f t="shared" si="49"/>
        <v>42667</v>
      </c>
      <c r="AH1026" s="11">
        <f t="shared" si="48"/>
        <v>42669</v>
      </c>
    </row>
    <row r="1027" spans="30:34">
      <c r="AD1027" s="10" t="s">
        <v>56</v>
      </c>
      <c r="AE1027" s="11">
        <v>42663</v>
      </c>
      <c r="AF1027" s="12">
        <f t="shared" si="47"/>
        <v>5</v>
      </c>
      <c r="AG1027" s="11">
        <f t="shared" si="49"/>
        <v>42668</v>
      </c>
      <c r="AH1027" s="11">
        <f t="shared" si="48"/>
        <v>42670</v>
      </c>
    </row>
    <row r="1028" spans="30:34">
      <c r="AD1028" s="10" t="s">
        <v>57</v>
      </c>
      <c r="AE1028" s="11">
        <v>42664</v>
      </c>
      <c r="AF1028" s="12">
        <f t="shared" si="47"/>
        <v>6</v>
      </c>
      <c r="AG1028" s="11">
        <f t="shared" si="49"/>
        <v>42669</v>
      </c>
      <c r="AH1028" s="11">
        <f t="shared" si="48"/>
        <v>42671</v>
      </c>
    </row>
    <row r="1029" spans="30:34">
      <c r="AD1029" s="10" t="s">
        <v>58</v>
      </c>
      <c r="AE1029" s="11">
        <v>42665</v>
      </c>
      <c r="AF1029" s="12">
        <f t="shared" ref="AF1029:AF1092" si="50">WEEKDAY(AE1029)</f>
        <v>7</v>
      </c>
      <c r="AG1029" s="11">
        <f t="shared" si="49"/>
        <v>42670</v>
      </c>
      <c r="AH1029" s="11">
        <f t="shared" ref="AH1029:AH1092" si="51">IFERROR((WORKDAY(AG1029, 2, AC$4:AC$53)), "")</f>
        <v>42674</v>
      </c>
    </row>
    <row r="1030" spans="30:34">
      <c r="AD1030" s="10" t="s">
        <v>52</v>
      </c>
      <c r="AE1030" s="11">
        <v>42666</v>
      </c>
      <c r="AF1030" s="12">
        <f t="shared" si="50"/>
        <v>1</v>
      </c>
      <c r="AG1030" s="11">
        <f t="shared" si="49"/>
        <v>42670</v>
      </c>
      <c r="AH1030" s="11">
        <f t="shared" si="51"/>
        <v>42674</v>
      </c>
    </row>
    <row r="1031" spans="30:34">
      <c r="AD1031" s="10" t="s">
        <v>53</v>
      </c>
      <c r="AE1031" s="11">
        <v>42667</v>
      </c>
      <c r="AF1031" s="12">
        <f t="shared" si="50"/>
        <v>2</v>
      </c>
      <c r="AG1031" s="11">
        <f t="shared" si="49"/>
        <v>42671</v>
      </c>
      <c r="AH1031" s="11">
        <f t="shared" si="51"/>
        <v>42675</v>
      </c>
    </row>
    <row r="1032" spans="30:34">
      <c r="AD1032" s="10" t="s">
        <v>54</v>
      </c>
      <c r="AE1032" s="11">
        <v>42668</v>
      </c>
      <c r="AF1032" s="12">
        <f t="shared" si="50"/>
        <v>3</v>
      </c>
      <c r="AG1032" s="11">
        <f t="shared" si="49"/>
        <v>42674</v>
      </c>
      <c r="AH1032" s="11">
        <f t="shared" si="51"/>
        <v>42676</v>
      </c>
    </row>
    <row r="1033" spans="30:34">
      <c r="AD1033" s="10" t="s">
        <v>55</v>
      </c>
      <c r="AE1033" s="11">
        <v>42669</v>
      </c>
      <c r="AF1033" s="12">
        <f t="shared" si="50"/>
        <v>4</v>
      </c>
      <c r="AG1033" s="11">
        <f t="shared" si="49"/>
        <v>42674</v>
      </c>
      <c r="AH1033" s="11">
        <f t="shared" si="51"/>
        <v>42676</v>
      </c>
    </row>
    <row r="1034" spans="30:34">
      <c r="AD1034" s="10" t="s">
        <v>56</v>
      </c>
      <c r="AE1034" s="11">
        <v>42670</v>
      </c>
      <c r="AF1034" s="12">
        <f t="shared" si="50"/>
        <v>5</v>
      </c>
      <c r="AG1034" s="11">
        <f t="shared" si="49"/>
        <v>42675</v>
      </c>
      <c r="AH1034" s="11">
        <f t="shared" si="51"/>
        <v>42677</v>
      </c>
    </row>
    <row r="1035" spans="30:34">
      <c r="AD1035" s="10" t="s">
        <v>57</v>
      </c>
      <c r="AE1035" s="11">
        <v>42671</v>
      </c>
      <c r="AF1035" s="12">
        <f t="shared" si="50"/>
        <v>6</v>
      </c>
      <c r="AG1035" s="11">
        <f t="shared" si="49"/>
        <v>42676</v>
      </c>
      <c r="AH1035" s="11">
        <f t="shared" si="51"/>
        <v>42678</v>
      </c>
    </row>
    <row r="1036" spans="30:34">
      <c r="AD1036" s="10" t="s">
        <v>58</v>
      </c>
      <c r="AE1036" s="11">
        <v>42672</v>
      </c>
      <c r="AF1036" s="12">
        <f t="shared" si="50"/>
        <v>7</v>
      </c>
      <c r="AG1036" s="11">
        <f t="shared" si="49"/>
        <v>42677</v>
      </c>
      <c r="AH1036" s="11">
        <f t="shared" si="51"/>
        <v>42681</v>
      </c>
    </row>
    <row r="1037" spans="30:34">
      <c r="AD1037" s="10" t="s">
        <v>52</v>
      </c>
      <c r="AE1037" s="11">
        <v>42673</v>
      </c>
      <c r="AF1037" s="12">
        <f t="shared" si="50"/>
        <v>1</v>
      </c>
      <c r="AG1037" s="11">
        <f t="shared" si="49"/>
        <v>42677</v>
      </c>
      <c r="AH1037" s="11">
        <f t="shared" si="51"/>
        <v>42681</v>
      </c>
    </row>
    <row r="1038" spans="30:34">
      <c r="AD1038" s="10" t="s">
        <v>53</v>
      </c>
      <c r="AE1038" s="11">
        <v>42674</v>
      </c>
      <c r="AF1038" s="12">
        <f t="shared" si="50"/>
        <v>2</v>
      </c>
      <c r="AG1038" s="11">
        <f t="shared" si="49"/>
        <v>42678</v>
      </c>
      <c r="AH1038" s="11">
        <f t="shared" si="51"/>
        <v>42682</v>
      </c>
    </row>
    <row r="1039" spans="30:34">
      <c r="AD1039" s="10" t="s">
        <v>54</v>
      </c>
      <c r="AE1039" s="11">
        <v>42675</v>
      </c>
      <c r="AF1039" s="12">
        <f t="shared" si="50"/>
        <v>3</v>
      </c>
      <c r="AG1039" s="11">
        <f t="shared" si="49"/>
        <v>42681</v>
      </c>
      <c r="AH1039" s="11">
        <f t="shared" si="51"/>
        <v>42683</v>
      </c>
    </row>
    <row r="1040" spans="30:34">
      <c r="AD1040" s="10" t="s">
        <v>55</v>
      </c>
      <c r="AE1040" s="11">
        <v>42676</v>
      </c>
      <c r="AF1040" s="12">
        <f t="shared" si="50"/>
        <v>4</v>
      </c>
      <c r="AG1040" s="11">
        <f t="shared" si="49"/>
        <v>42681</v>
      </c>
      <c r="AH1040" s="11">
        <f t="shared" si="51"/>
        <v>42683</v>
      </c>
    </row>
    <row r="1041" spans="30:34">
      <c r="AD1041" s="10" t="s">
        <v>56</v>
      </c>
      <c r="AE1041" s="11">
        <v>42677</v>
      </c>
      <c r="AF1041" s="12">
        <f t="shared" si="50"/>
        <v>5</v>
      </c>
      <c r="AG1041" s="11">
        <f t="shared" si="49"/>
        <v>42682</v>
      </c>
      <c r="AH1041" s="11">
        <f t="shared" si="51"/>
        <v>42684</v>
      </c>
    </row>
    <row r="1042" spans="30:34">
      <c r="AD1042" s="10" t="s">
        <v>57</v>
      </c>
      <c r="AE1042" s="11">
        <v>42678</v>
      </c>
      <c r="AF1042" s="12">
        <f t="shared" si="50"/>
        <v>6</v>
      </c>
      <c r="AG1042" s="11">
        <f t="shared" si="49"/>
        <v>42683</v>
      </c>
      <c r="AH1042" s="11">
        <f t="shared" si="51"/>
        <v>42688</v>
      </c>
    </row>
    <row r="1043" spans="30:34">
      <c r="AD1043" s="10" t="s">
        <v>58</v>
      </c>
      <c r="AE1043" s="11">
        <v>42679</v>
      </c>
      <c r="AF1043" s="12">
        <f t="shared" si="50"/>
        <v>7</v>
      </c>
      <c r="AG1043" s="11">
        <f t="shared" si="49"/>
        <v>42684</v>
      </c>
      <c r="AH1043" s="11">
        <f t="shared" si="51"/>
        <v>42689</v>
      </c>
    </row>
    <row r="1044" spans="30:34">
      <c r="AD1044" s="10" t="s">
        <v>52</v>
      </c>
      <c r="AE1044" s="11">
        <v>42680</v>
      </c>
      <c r="AF1044" s="12">
        <f t="shared" si="50"/>
        <v>1</v>
      </c>
      <c r="AG1044" s="11">
        <f t="shared" si="49"/>
        <v>42684</v>
      </c>
      <c r="AH1044" s="11">
        <f t="shared" si="51"/>
        <v>42689</v>
      </c>
    </row>
    <row r="1045" spans="30:34">
      <c r="AD1045" s="10" t="s">
        <v>53</v>
      </c>
      <c r="AE1045" s="11">
        <v>42681</v>
      </c>
      <c r="AF1045" s="12">
        <f t="shared" si="50"/>
        <v>2</v>
      </c>
      <c r="AG1045" s="11">
        <v>42688</v>
      </c>
      <c r="AH1045" s="11">
        <f t="shared" si="51"/>
        <v>42690</v>
      </c>
    </row>
    <row r="1046" spans="30:34">
      <c r="AD1046" s="10" t="s">
        <v>54</v>
      </c>
      <c r="AE1046" s="11">
        <v>42682</v>
      </c>
      <c r="AF1046" s="12">
        <f t="shared" si="50"/>
        <v>3</v>
      </c>
      <c r="AG1046" s="11">
        <f t="shared" si="49"/>
        <v>42688</v>
      </c>
      <c r="AH1046" s="11">
        <f t="shared" si="51"/>
        <v>42690</v>
      </c>
    </row>
    <row r="1047" spans="30:34">
      <c r="AD1047" s="10" t="s">
        <v>55</v>
      </c>
      <c r="AE1047" s="11">
        <v>42683</v>
      </c>
      <c r="AF1047" s="12">
        <f t="shared" si="50"/>
        <v>4</v>
      </c>
      <c r="AG1047" s="11">
        <v>42689</v>
      </c>
      <c r="AH1047" s="11">
        <f t="shared" si="51"/>
        <v>42691</v>
      </c>
    </row>
    <row r="1048" spans="30:34">
      <c r="AD1048" s="10" t="s">
        <v>56</v>
      </c>
      <c r="AE1048" s="11">
        <v>42684</v>
      </c>
      <c r="AF1048" s="12">
        <f t="shared" si="50"/>
        <v>5</v>
      </c>
      <c r="AG1048" s="11">
        <v>42690</v>
      </c>
      <c r="AH1048" s="11">
        <f t="shared" si="51"/>
        <v>42692</v>
      </c>
    </row>
    <row r="1049" spans="30:34">
      <c r="AD1049" s="10" t="s">
        <v>57</v>
      </c>
      <c r="AE1049" s="11">
        <v>42685</v>
      </c>
      <c r="AF1049" s="12">
        <f t="shared" si="50"/>
        <v>6</v>
      </c>
      <c r="AG1049" s="11">
        <f t="shared" si="49"/>
        <v>42690</v>
      </c>
      <c r="AH1049" s="11">
        <f t="shared" si="51"/>
        <v>42692</v>
      </c>
    </row>
    <row r="1050" spans="30:34">
      <c r="AD1050" s="10" t="s">
        <v>58</v>
      </c>
      <c r="AE1050" s="11">
        <v>42686</v>
      </c>
      <c r="AF1050" s="12">
        <f t="shared" si="50"/>
        <v>7</v>
      </c>
      <c r="AG1050" s="11">
        <f t="shared" si="49"/>
        <v>42691</v>
      </c>
      <c r="AH1050" s="11">
        <f t="shared" si="51"/>
        <v>42695</v>
      </c>
    </row>
    <row r="1051" spans="30:34">
      <c r="AD1051" s="10" t="s">
        <v>52</v>
      </c>
      <c r="AE1051" s="11">
        <v>42687</v>
      </c>
      <c r="AF1051" s="12">
        <f t="shared" si="50"/>
        <v>1</v>
      </c>
      <c r="AG1051" s="11">
        <f t="shared" si="49"/>
        <v>42691</v>
      </c>
      <c r="AH1051" s="11">
        <f t="shared" si="51"/>
        <v>42695</v>
      </c>
    </row>
    <row r="1052" spans="30:34">
      <c r="AD1052" s="10" t="s">
        <v>53</v>
      </c>
      <c r="AE1052" s="11">
        <v>42688</v>
      </c>
      <c r="AF1052" s="12">
        <f t="shared" si="50"/>
        <v>2</v>
      </c>
      <c r="AG1052" s="11">
        <f t="shared" si="49"/>
        <v>42692</v>
      </c>
      <c r="AH1052" s="11">
        <f t="shared" si="51"/>
        <v>42696</v>
      </c>
    </row>
    <row r="1053" spans="30:34">
      <c r="AD1053" s="10" t="s">
        <v>54</v>
      </c>
      <c r="AE1053" s="11">
        <v>42689</v>
      </c>
      <c r="AF1053" s="12">
        <f t="shared" si="50"/>
        <v>3</v>
      </c>
      <c r="AG1053" s="11">
        <f t="shared" si="49"/>
        <v>42695</v>
      </c>
      <c r="AH1053" s="11">
        <f t="shared" si="51"/>
        <v>42697</v>
      </c>
    </row>
    <row r="1054" spans="30:34">
      <c r="AD1054" s="10" t="s">
        <v>55</v>
      </c>
      <c r="AE1054" s="11">
        <v>42690</v>
      </c>
      <c r="AF1054" s="12">
        <f t="shared" si="50"/>
        <v>4</v>
      </c>
      <c r="AG1054" s="11">
        <f t="shared" ref="AG1054:AG1117" si="52">AE1054+(VLOOKUP(AF1054, $AJ$4:$AK$10, 2, FALSE))</f>
        <v>42695</v>
      </c>
      <c r="AH1054" s="11">
        <f t="shared" si="51"/>
        <v>42697</v>
      </c>
    </row>
    <row r="1055" spans="30:34">
      <c r="AD1055" s="10" t="s">
        <v>56</v>
      </c>
      <c r="AE1055" s="11">
        <v>42691</v>
      </c>
      <c r="AF1055" s="12">
        <f t="shared" si="50"/>
        <v>5</v>
      </c>
      <c r="AG1055" s="11">
        <f t="shared" si="52"/>
        <v>42696</v>
      </c>
      <c r="AH1055" s="11">
        <f t="shared" si="51"/>
        <v>42699</v>
      </c>
    </row>
    <row r="1056" spans="30:34">
      <c r="AD1056" s="10" t="s">
        <v>57</v>
      </c>
      <c r="AE1056" s="11">
        <v>42692</v>
      </c>
      <c r="AF1056" s="12">
        <f t="shared" si="50"/>
        <v>6</v>
      </c>
      <c r="AG1056" s="11">
        <f t="shared" si="52"/>
        <v>42697</v>
      </c>
      <c r="AH1056" s="11">
        <f t="shared" si="51"/>
        <v>42702</v>
      </c>
    </row>
    <row r="1057" spans="30:34">
      <c r="AD1057" s="10" t="s">
        <v>58</v>
      </c>
      <c r="AE1057" s="11">
        <v>42693</v>
      </c>
      <c r="AF1057" s="12">
        <f t="shared" si="50"/>
        <v>7</v>
      </c>
      <c r="AG1057" s="11">
        <v>42699</v>
      </c>
      <c r="AH1057" s="11">
        <f t="shared" si="51"/>
        <v>42703</v>
      </c>
    </row>
    <row r="1058" spans="30:34">
      <c r="AD1058" s="10" t="s">
        <v>52</v>
      </c>
      <c r="AE1058" s="11">
        <v>42694</v>
      </c>
      <c r="AF1058" s="12">
        <f t="shared" si="50"/>
        <v>1</v>
      </c>
      <c r="AG1058" s="11">
        <v>42699</v>
      </c>
      <c r="AH1058" s="11">
        <f t="shared" si="51"/>
        <v>42703</v>
      </c>
    </row>
    <row r="1059" spans="30:34">
      <c r="AD1059" s="10" t="s">
        <v>53</v>
      </c>
      <c r="AE1059" s="11">
        <v>42695</v>
      </c>
      <c r="AF1059" s="12">
        <f t="shared" si="50"/>
        <v>2</v>
      </c>
      <c r="AG1059" s="11">
        <v>42702</v>
      </c>
      <c r="AH1059" s="11">
        <f t="shared" si="51"/>
        <v>42704</v>
      </c>
    </row>
    <row r="1060" spans="30:34">
      <c r="AD1060" s="10" t="s">
        <v>54</v>
      </c>
      <c r="AE1060" s="11">
        <v>42696</v>
      </c>
      <c r="AF1060" s="12">
        <f t="shared" si="50"/>
        <v>3</v>
      </c>
      <c r="AG1060" s="11">
        <f t="shared" si="52"/>
        <v>42702</v>
      </c>
      <c r="AH1060" s="11">
        <f t="shared" si="51"/>
        <v>42704</v>
      </c>
    </row>
    <row r="1061" spans="30:34">
      <c r="AD1061" s="10" t="s">
        <v>55</v>
      </c>
      <c r="AE1061" s="11">
        <v>42697</v>
      </c>
      <c r="AF1061" s="12">
        <f t="shared" si="50"/>
        <v>4</v>
      </c>
      <c r="AG1061" s="11">
        <v>42703</v>
      </c>
      <c r="AH1061" s="11">
        <f t="shared" si="51"/>
        <v>42705</v>
      </c>
    </row>
    <row r="1062" spans="30:34">
      <c r="AD1062" s="10" t="s">
        <v>56</v>
      </c>
      <c r="AE1062" s="11">
        <v>42698</v>
      </c>
      <c r="AF1062" s="12">
        <f t="shared" si="50"/>
        <v>5</v>
      </c>
      <c r="AG1062" s="11">
        <f>AE1062+(VLOOKUP(AF1062, $AJ$4:$AK$10, 2, FALSE))</f>
        <v>42703</v>
      </c>
      <c r="AH1062" s="11">
        <f t="shared" si="51"/>
        <v>42705</v>
      </c>
    </row>
    <row r="1063" spans="30:34">
      <c r="AD1063" s="10" t="s">
        <v>57</v>
      </c>
      <c r="AE1063" s="11">
        <v>42699</v>
      </c>
      <c r="AF1063" s="12">
        <f t="shared" si="50"/>
        <v>6</v>
      </c>
      <c r="AG1063" s="11">
        <f t="shared" si="52"/>
        <v>42704</v>
      </c>
      <c r="AH1063" s="11">
        <f t="shared" si="51"/>
        <v>42706</v>
      </c>
    </row>
    <row r="1064" spans="30:34">
      <c r="AD1064" s="10" t="s">
        <v>58</v>
      </c>
      <c r="AE1064" s="11">
        <v>42700</v>
      </c>
      <c r="AF1064" s="12">
        <f t="shared" si="50"/>
        <v>7</v>
      </c>
      <c r="AG1064" s="11">
        <f t="shared" si="52"/>
        <v>42705</v>
      </c>
      <c r="AH1064" s="11">
        <f t="shared" si="51"/>
        <v>42709</v>
      </c>
    </row>
    <row r="1065" spans="30:34">
      <c r="AD1065" s="10" t="s">
        <v>52</v>
      </c>
      <c r="AE1065" s="11">
        <v>42701</v>
      </c>
      <c r="AF1065" s="12">
        <f t="shared" si="50"/>
        <v>1</v>
      </c>
      <c r="AG1065" s="11">
        <f t="shared" si="52"/>
        <v>42705</v>
      </c>
      <c r="AH1065" s="11">
        <f t="shared" si="51"/>
        <v>42709</v>
      </c>
    </row>
    <row r="1066" spans="30:34">
      <c r="AD1066" s="10" t="s">
        <v>53</v>
      </c>
      <c r="AE1066" s="11">
        <v>42702</v>
      </c>
      <c r="AF1066" s="12">
        <f t="shared" si="50"/>
        <v>2</v>
      </c>
      <c r="AG1066" s="11">
        <f t="shared" si="52"/>
        <v>42706</v>
      </c>
      <c r="AH1066" s="11">
        <f t="shared" si="51"/>
        <v>42710</v>
      </c>
    </row>
    <row r="1067" spans="30:34">
      <c r="AD1067" s="10" t="s">
        <v>54</v>
      </c>
      <c r="AE1067" s="11">
        <v>42703</v>
      </c>
      <c r="AF1067" s="12">
        <f t="shared" si="50"/>
        <v>3</v>
      </c>
      <c r="AG1067" s="11">
        <f t="shared" si="52"/>
        <v>42709</v>
      </c>
      <c r="AH1067" s="11">
        <f t="shared" si="51"/>
        <v>42711</v>
      </c>
    </row>
    <row r="1068" spans="30:34">
      <c r="AD1068" s="10" t="s">
        <v>55</v>
      </c>
      <c r="AE1068" s="11">
        <v>42704</v>
      </c>
      <c r="AF1068" s="12">
        <f t="shared" si="50"/>
        <v>4</v>
      </c>
      <c r="AG1068" s="11">
        <f t="shared" si="52"/>
        <v>42709</v>
      </c>
      <c r="AH1068" s="11">
        <f t="shared" si="51"/>
        <v>42711</v>
      </c>
    </row>
    <row r="1069" spans="30:34">
      <c r="AD1069" s="10" t="s">
        <v>56</v>
      </c>
      <c r="AE1069" s="11">
        <v>42705</v>
      </c>
      <c r="AF1069" s="12">
        <f t="shared" si="50"/>
        <v>5</v>
      </c>
      <c r="AG1069" s="11">
        <f t="shared" si="52"/>
        <v>42710</v>
      </c>
      <c r="AH1069" s="11">
        <f t="shared" si="51"/>
        <v>42712</v>
      </c>
    </row>
    <row r="1070" spans="30:34">
      <c r="AD1070" s="10" t="s">
        <v>57</v>
      </c>
      <c r="AE1070" s="11">
        <v>42706</v>
      </c>
      <c r="AF1070" s="12">
        <f t="shared" si="50"/>
        <v>6</v>
      </c>
      <c r="AG1070" s="11">
        <f t="shared" si="52"/>
        <v>42711</v>
      </c>
      <c r="AH1070" s="11">
        <f t="shared" si="51"/>
        <v>42713</v>
      </c>
    </row>
    <row r="1071" spans="30:34">
      <c r="AD1071" s="10" t="s">
        <v>58</v>
      </c>
      <c r="AE1071" s="11">
        <v>42707</v>
      </c>
      <c r="AF1071" s="12">
        <f t="shared" si="50"/>
        <v>7</v>
      </c>
      <c r="AG1071" s="11">
        <f t="shared" si="52"/>
        <v>42712</v>
      </c>
      <c r="AH1071" s="11">
        <f t="shared" si="51"/>
        <v>42716</v>
      </c>
    </row>
    <row r="1072" spans="30:34">
      <c r="AD1072" s="10" t="s">
        <v>52</v>
      </c>
      <c r="AE1072" s="11">
        <v>42708</v>
      </c>
      <c r="AF1072" s="12">
        <f t="shared" si="50"/>
        <v>1</v>
      </c>
      <c r="AG1072" s="11">
        <f t="shared" si="52"/>
        <v>42712</v>
      </c>
      <c r="AH1072" s="11">
        <f t="shared" si="51"/>
        <v>42716</v>
      </c>
    </row>
    <row r="1073" spans="30:34">
      <c r="AD1073" s="10" t="s">
        <v>53</v>
      </c>
      <c r="AE1073" s="11">
        <v>42709</v>
      </c>
      <c r="AF1073" s="12">
        <f t="shared" si="50"/>
        <v>2</v>
      </c>
      <c r="AG1073" s="11">
        <f t="shared" si="52"/>
        <v>42713</v>
      </c>
      <c r="AH1073" s="11">
        <f t="shared" si="51"/>
        <v>42717</v>
      </c>
    </row>
    <row r="1074" spans="30:34">
      <c r="AD1074" s="10" t="s">
        <v>54</v>
      </c>
      <c r="AE1074" s="11">
        <v>42710</v>
      </c>
      <c r="AF1074" s="12">
        <f t="shared" si="50"/>
        <v>3</v>
      </c>
      <c r="AG1074" s="11">
        <f t="shared" si="52"/>
        <v>42716</v>
      </c>
      <c r="AH1074" s="11">
        <f t="shared" si="51"/>
        <v>42718</v>
      </c>
    </row>
    <row r="1075" spans="30:34">
      <c r="AD1075" s="10" t="s">
        <v>55</v>
      </c>
      <c r="AE1075" s="11">
        <v>42711</v>
      </c>
      <c r="AF1075" s="12">
        <f t="shared" si="50"/>
        <v>4</v>
      </c>
      <c r="AG1075" s="11">
        <f t="shared" si="52"/>
        <v>42716</v>
      </c>
      <c r="AH1075" s="11">
        <f t="shared" si="51"/>
        <v>42718</v>
      </c>
    </row>
    <row r="1076" spans="30:34">
      <c r="AD1076" s="10" t="s">
        <v>56</v>
      </c>
      <c r="AE1076" s="11">
        <v>42712</v>
      </c>
      <c r="AF1076" s="12">
        <f t="shared" si="50"/>
        <v>5</v>
      </c>
      <c r="AG1076" s="11">
        <f t="shared" si="52"/>
        <v>42717</v>
      </c>
      <c r="AH1076" s="11">
        <f t="shared" si="51"/>
        <v>42719</v>
      </c>
    </row>
    <row r="1077" spans="30:34">
      <c r="AD1077" s="10" t="s">
        <v>57</v>
      </c>
      <c r="AE1077" s="11">
        <v>42713</v>
      </c>
      <c r="AF1077" s="12">
        <f t="shared" si="50"/>
        <v>6</v>
      </c>
      <c r="AG1077" s="11">
        <f t="shared" si="52"/>
        <v>42718</v>
      </c>
      <c r="AH1077" s="11">
        <f t="shared" si="51"/>
        <v>42720</v>
      </c>
    </row>
    <row r="1078" spans="30:34">
      <c r="AD1078" s="10" t="s">
        <v>58</v>
      </c>
      <c r="AE1078" s="11">
        <v>42714</v>
      </c>
      <c r="AF1078" s="12">
        <f t="shared" si="50"/>
        <v>7</v>
      </c>
      <c r="AG1078" s="11">
        <f t="shared" si="52"/>
        <v>42719</v>
      </c>
      <c r="AH1078" s="11">
        <f t="shared" si="51"/>
        <v>42723</v>
      </c>
    </row>
    <row r="1079" spans="30:34">
      <c r="AD1079" s="10" t="s">
        <v>52</v>
      </c>
      <c r="AE1079" s="11">
        <v>42715</v>
      </c>
      <c r="AF1079" s="12">
        <f t="shared" si="50"/>
        <v>1</v>
      </c>
      <c r="AG1079" s="11">
        <f t="shared" si="52"/>
        <v>42719</v>
      </c>
      <c r="AH1079" s="11">
        <f t="shared" si="51"/>
        <v>42723</v>
      </c>
    </row>
    <row r="1080" spans="30:34">
      <c r="AD1080" s="10" t="s">
        <v>53</v>
      </c>
      <c r="AE1080" s="11">
        <v>42716</v>
      </c>
      <c r="AF1080" s="12">
        <f t="shared" si="50"/>
        <v>2</v>
      </c>
      <c r="AG1080" s="11">
        <f t="shared" si="52"/>
        <v>42720</v>
      </c>
      <c r="AH1080" s="11">
        <f t="shared" si="51"/>
        <v>42724</v>
      </c>
    </row>
    <row r="1081" spans="30:34">
      <c r="AD1081" s="10" t="s">
        <v>54</v>
      </c>
      <c r="AE1081" s="11">
        <v>42717</v>
      </c>
      <c r="AF1081" s="12">
        <f t="shared" si="50"/>
        <v>3</v>
      </c>
      <c r="AG1081" s="11">
        <f t="shared" si="52"/>
        <v>42723</v>
      </c>
      <c r="AH1081" s="11">
        <f t="shared" si="51"/>
        <v>42725</v>
      </c>
    </row>
    <row r="1082" spans="30:34">
      <c r="AD1082" s="10" t="s">
        <v>55</v>
      </c>
      <c r="AE1082" s="11">
        <v>42718</v>
      </c>
      <c r="AF1082" s="12">
        <f t="shared" si="50"/>
        <v>4</v>
      </c>
      <c r="AG1082" s="11">
        <f t="shared" si="52"/>
        <v>42723</v>
      </c>
      <c r="AH1082" s="11">
        <f t="shared" si="51"/>
        <v>42725</v>
      </c>
    </row>
    <row r="1083" spans="30:34">
      <c r="AD1083" s="10" t="s">
        <v>56</v>
      </c>
      <c r="AE1083" s="11">
        <v>42719</v>
      </c>
      <c r="AF1083" s="12">
        <f t="shared" si="50"/>
        <v>5</v>
      </c>
      <c r="AG1083" s="11">
        <f t="shared" si="52"/>
        <v>42724</v>
      </c>
      <c r="AH1083" s="11">
        <f t="shared" si="51"/>
        <v>42726</v>
      </c>
    </row>
    <row r="1084" spans="30:34">
      <c r="AD1084" s="10" t="s">
        <v>57</v>
      </c>
      <c r="AE1084" s="11">
        <v>42720</v>
      </c>
      <c r="AF1084" s="12">
        <f t="shared" si="50"/>
        <v>6</v>
      </c>
      <c r="AG1084" s="11">
        <f t="shared" si="52"/>
        <v>42725</v>
      </c>
      <c r="AH1084" s="11">
        <f t="shared" si="51"/>
        <v>42727</v>
      </c>
    </row>
    <row r="1085" spans="30:34">
      <c r="AD1085" s="10" t="s">
        <v>58</v>
      </c>
      <c r="AE1085" s="11">
        <v>42721</v>
      </c>
      <c r="AF1085" s="12">
        <f t="shared" si="50"/>
        <v>7</v>
      </c>
      <c r="AG1085" s="11">
        <f t="shared" si="52"/>
        <v>42726</v>
      </c>
      <c r="AH1085" s="11">
        <f t="shared" si="51"/>
        <v>42731</v>
      </c>
    </row>
    <row r="1086" spans="30:34">
      <c r="AD1086" s="10" t="s">
        <v>52</v>
      </c>
      <c r="AE1086" s="11">
        <v>42722</v>
      </c>
      <c r="AF1086" s="12">
        <f t="shared" si="50"/>
        <v>1</v>
      </c>
      <c r="AG1086" s="11">
        <f t="shared" si="52"/>
        <v>42726</v>
      </c>
      <c r="AH1086" s="11">
        <f t="shared" si="51"/>
        <v>42731</v>
      </c>
    </row>
    <row r="1087" spans="30:34">
      <c r="AD1087" s="10" t="s">
        <v>53</v>
      </c>
      <c r="AE1087" s="11">
        <v>42723</v>
      </c>
      <c r="AF1087" s="12">
        <f t="shared" si="50"/>
        <v>2</v>
      </c>
      <c r="AG1087" s="11">
        <f t="shared" si="52"/>
        <v>42727</v>
      </c>
      <c r="AH1087" s="11">
        <f t="shared" si="51"/>
        <v>42732</v>
      </c>
    </row>
    <row r="1088" spans="30:34">
      <c r="AD1088" s="10" t="s">
        <v>54</v>
      </c>
      <c r="AE1088" s="11">
        <v>42724</v>
      </c>
      <c r="AF1088" s="12">
        <f t="shared" si="50"/>
        <v>3</v>
      </c>
      <c r="AG1088" s="11">
        <v>42731</v>
      </c>
      <c r="AH1088" s="11">
        <f t="shared" si="51"/>
        <v>42733</v>
      </c>
    </row>
    <row r="1089" spans="30:34">
      <c r="AD1089" s="10" t="s">
        <v>55</v>
      </c>
      <c r="AE1089" s="11">
        <v>42725</v>
      </c>
      <c r="AF1089" s="12">
        <f t="shared" si="50"/>
        <v>4</v>
      </c>
      <c r="AG1089" s="11">
        <v>42731</v>
      </c>
      <c r="AH1089" s="11">
        <f t="shared" si="51"/>
        <v>42733</v>
      </c>
    </row>
    <row r="1090" spans="30:34">
      <c r="AD1090" s="10" t="s">
        <v>56</v>
      </c>
      <c r="AE1090" s="11">
        <v>42726</v>
      </c>
      <c r="AF1090" s="12">
        <f t="shared" si="50"/>
        <v>5</v>
      </c>
      <c r="AG1090" s="11">
        <v>42732</v>
      </c>
      <c r="AH1090" s="11">
        <f t="shared" si="51"/>
        <v>42734</v>
      </c>
    </row>
    <row r="1091" spans="30:34">
      <c r="AD1091" s="10" t="s">
        <v>57</v>
      </c>
      <c r="AE1091" s="11">
        <v>42727</v>
      </c>
      <c r="AF1091" s="12">
        <f t="shared" si="50"/>
        <v>6</v>
      </c>
      <c r="AG1091" s="11">
        <v>42733</v>
      </c>
      <c r="AH1091" s="11">
        <f t="shared" si="51"/>
        <v>42738</v>
      </c>
    </row>
    <row r="1092" spans="30:34">
      <c r="AD1092" s="10" t="s">
        <v>58</v>
      </c>
      <c r="AE1092" s="11">
        <v>42728</v>
      </c>
      <c r="AF1092" s="12">
        <f t="shared" si="50"/>
        <v>7</v>
      </c>
      <c r="AG1092" s="11">
        <v>42734</v>
      </c>
      <c r="AH1092" s="11">
        <f t="shared" si="51"/>
        <v>42739</v>
      </c>
    </row>
    <row r="1093" spans="30:34">
      <c r="AD1093" s="10" t="s">
        <v>52</v>
      </c>
      <c r="AE1093" s="11">
        <v>42729</v>
      </c>
      <c r="AF1093" s="12">
        <f t="shared" ref="AF1093:AF1156" si="53">WEEKDAY(AE1093)</f>
        <v>1</v>
      </c>
      <c r="AG1093" s="11">
        <v>42734</v>
      </c>
      <c r="AH1093" s="11">
        <f t="shared" ref="AH1093:AH1156" si="54">IFERROR((WORKDAY(AG1093, 2, AC$4:AC$53)), "")</f>
        <v>42739</v>
      </c>
    </row>
    <row r="1094" spans="30:34">
      <c r="AD1094" s="10" t="s">
        <v>53</v>
      </c>
      <c r="AE1094" s="11">
        <v>42730</v>
      </c>
      <c r="AF1094" s="12">
        <f t="shared" si="53"/>
        <v>2</v>
      </c>
      <c r="AG1094" s="11">
        <f t="shared" si="52"/>
        <v>42734</v>
      </c>
      <c r="AH1094" s="11">
        <f t="shared" si="54"/>
        <v>42739</v>
      </c>
    </row>
    <row r="1095" spans="30:34">
      <c r="AD1095" s="10" t="s">
        <v>54</v>
      </c>
      <c r="AE1095" s="11">
        <v>42731</v>
      </c>
      <c r="AF1095" s="12">
        <f t="shared" si="53"/>
        <v>3</v>
      </c>
      <c r="AG1095" s="11">
        <v>42735</v>
      </c>
      <c r="AH1095" s="11">
        <f t="shared" si="54"/>
        <v>42739</v>
      </c>
    </row>
    <row r="1096" spans="30:34">
      <c r="AD1096" s="10" t="s">
        <v>55</v>
      </c>
      <c r="AE1096" s="11">
        <v>42732</v>
      </c>
      <c r="AF1096" s="12">
        <f t="shared" si="53"/>
        <v>4</v>
      </c>
      <c r="AG1096" s="11">
        <v>42738</v>
      </c>
      <c r="AH1096" s="11">
        <f t="shared" si="54"/>
        <v>42740</v>
      </c>
    </row>
    <row r="1097" spans="30:34">
      <c r="AD1097" s="10" t="s">
        <v>56</v>
      </c>
      <c r="AE1097" s="11">
        <v>42733</v>
      </c>
      <c r="AF1097" s="12">
        <f t="shared" si="53"/>
        <v>5</v>
      </c>
      <c r="AG1097" s="11">
        <v>42739</v>
      </c>
      <c r="AH1097" s="11">
        <f t="shared" si="54"/>
        <v>42741</v>
      </c>
    </row>
    <row r="1098" spans="30:34">
      <c r="AD1098" s="10" t="s">
        <v>57</v>
      </c>
      <c r="AE1098" s="11">
        <v>42734</v>
      </c>
      <c r="AF1098" s="12">
        <f t="shared" si="53"/>
        <v>6</v>
      </c>
      <c r="AG1098" s="11">
        <v>42740</v>
      </c>
      <c r="AH1098" s="11">
        <f t="shared" si="54"/>
        <v>42744</v>
      </c>
    </row>
    <row r="1099" spans="30:34">
      <c r="AD1099" s="10" t="s">
        <v>58</v>
      </c>
      <c r="AE1099" s="11">
        <v>42735</v>
      </c>
      <c r="AF1099" s="12">
        <f t="shared" si="53"/>
        <v>7</v>
      </c>
      <c r="AG1099" s="11">
        <v>42741</v>
      </c>
      <c r="AH1099" s="11">
        <f t="shared" si="54"/>
        <v>42745</v>
      </c>
    </row>
    <row r="1100" spans="30:34">
      <c r="AD1100" s="10" t="s">
        <v>52</v>
      </c>
      <c r="AE1100" s="11">
        <v>42736</v>
      </c>
      <c r="AF1100" s="12">
        <f t="shared" si="53"/>
        <v>1</v>
      </c>
      <c r="AG1100" s="11">
        <v>42741</v>
      </c>
      <c r="AH1100" s="11">
        <f t="shared" si="54"/>
        <v>42745</v>
      </c>
    </row>
    <row r="1101" spans="30:34">
      <c r="AD1101" s="10" t="s">
        <v>53</v>
      </c>
      <c r="AE1101" s="11">
        <v>42737</v>
      </c>
      <c r="AF1101" s="12">
        <f t="shared" si="53"/>
        <v>2</v>
      </c>
      <c r="AG1101" s="11">
        <f t="shared" si="52"/>
        <v>42741</v>
      </c>
      <c r="AH1101" s="11">
        <f t="shared" si="54"/>
        <v>42745</v>
      </c>
    </row>
    <row r="1102" spans="30:34">
      <c r="AD1102" s="10" t="s">
        <v>54</v>
      </c>
      <c r="AE1102" s="11">
        <v>42738</v>
      </c>
      <c r="AF1102" s="12">
        <f t="shared" si="53"/>
        <v>3</v>
      </c>
      <c r="AG1102" s="11">
        <f t="shared" si="52"/>
        <v>42744</v>
      </c>
      <c r="AH1102" s="11">
        <f t="shared" si="54"/>
        <v>42746</v>
      </c>
    </row>
    <row r="1103" spans="30:34">
      <c r="AD1103" s="10" t="s">
        <v>55</v>
      </c>
      <c r="AE1103" s="11">
        <v>42739</v>
      </c>
      <c r="AF1103" s="12">
        <f t="shared" si="53"/>
        <v>4</v>
      </c>
      <c r="AG1103" s="11">
        <f t="shared" si="52"/>
        <v>42744</v>
      </c>
      <c r="AH1103" s="11">
        <f t="shared" si="54"/>
        <v>42746</v>
      </c>
    </row>
    <row r="1104" spans="30:34">
      <c r="AD1104" s="10" t="s">
        <v>56</v>
      </c>
      <c r="AE1104" s="11">
        <v>42740</v>
      </c>
      <c r="AF1104" s="12">
        <f t="shared" si="53"/>
        <v>5</v>
      </c>
      <c r="AG1104" s="11">
        <f t="shared" si="52"/>
        <v>42745</v>
      </c>
      <c r="AH1104" s="11">
        <f t="shared" si="54"/>
        <v>42747</v>
      </c>
    </row>
    <row r="1105" spans="30:34">
      <c r="AD1105" s="10" t="s">
        <v>57</v>
      </c>
      <c r="AE1105" s="11">
        <v>42741</v>
      </c>
      <c r="AF1105" s="12">
        <f t="shared" si="53"/>
        <v>6</v>
      </c>
      <c r="AG1105" s="11">
        <f t="shared" si="52"/>
        <v>42746</v>
      </c>
      <c r="AH1105" s="11">
        <f t="shared" si="54"/>
        <v>42748</v>
      </c>
    </row>
    <row r="1106" spans="30:34">
      <c r="AD1106" s="10" t="s">
        <v>58</v>
      </c>
      <c r="AE1106" s="11">
        <v>42742</v>
      </c>
      <c r="AF1106" s="12">
        <f t="shared" si="53"/>
        <v>7</v>
      </c>
      <c r="AG1106" s="11">
        <f t="shared" si="52"/>
        <v>42747</v>
      </c>
      <c r="AH1106" s="11">
        <f t="shared" si="54"/>
        <v>42752</v>
      </c>
    </row>
    <row r="1107" spans="30:34">
      <c r="AD1107" s="10" t="s">
        <v>52</v>
      </c>
      <c r="AE1107" s="11">
        <v>42743</v>
      </c>
      <c r="AF1107" s="12">
        <f t="shared" si="53"/>
        <v>1</v>
      </c>
      <c r="AG1107" s="11">
        <f t="shared" si="52"/>
        <v>42747</v>
      </c>
      <c r="AH1107" s="11">
        <f t="shared" si="54"/>
        <v>42752</v>
      </c>
    </row>
    <row r="1108" spans="30:34">
      <c r="AD1108" s="10" t="s">
        <v>53</v>
      </c>
      <c r="AE1108" s="11">
        <v>42744</v>
      </c>
      <c r="AF1108" s="12">
        <f t="shared" si="53"/>
        <v>2</v>
      </c>
      <c r="AG1108" s="11">
        <f t="shared" si="52"/>
        <v>42748</v>
      </c>
      <c r="AH1108" s="11">
        <f t="shared" si="54"/>
        <v>42753</v>
      </c>
    </row>
    <row r="1109" spans="30:34">
      <c r="AD1109" s="10" t="s">
        <v>54</v>
      </c>
      <c r="AE1109" s="11">
        <v>42745</v>
      </c>
      <c r="AF1109" s="12">
        <f t="shared" si="53"/>
        <v>3</v>
      </c>
      <c r="AG1109" s="11">
        <v>42752</v>
      </c>
      <c r="AH1109" s="11">
        <f t="shared" si="54"/>
        <v>42754</v>
      </c>
    </row>
    <row r="1110" spans="30:34">
      <c r="AD1110" s="10" t="s">
        <v>55</v>
      </c>
      <c r="AE1110" s="11">
        <v>42746</v>
      </c>
      <c r="AF1110" s="12">
        <f t="shared" si="53"/>
        <v>4</v>
      </c>
      <c r="AG1110" s="11">
        <v>42752</v>
      </c>
      <c r="AH1110" s="11">
        <f t="shared" si="54"/>
        <v>42754</v>
      </c>
    </row>
    <row r="1111" spans="30:34">
      <c r="AD1111" s="10" t="s">
        <v>56</v>
      </c>
      <c r="AE1111" s="11">
        <v>42747</v>
      </c>
      <c r="AF1111" s="12">
        <f t="shared" si="53"/>
        <v>5</v>
      </c>
      <c r="AG1111" s="11">
        <v>42753</v>
      </c>
      <c r="AH1111" s="11">
        <f t="shared" si="54"/>
        <v>42755</v>
      </c>
    </row>
    <row r="1112" spans="30:34">
      <c r="AD1112" s="10" t="s">
        <v>57</v>
      </c>
      <c r="AE1112" s="11">
        <v>42748</v>
      </c>
      <c r="AF1112" s="12">
        <f t="shared" si="53"/>
        <v>6</v>
      </c>
      <c r="AG1112" s="11">
        <v>42754</v>
      </c>
      <c r="AH1112" s="11">
        <f t="shared" si="54"/>
        <v>42758</v>
      </c>
    </row>
    <row r="1113" spans="30:34">
      <c r="AD1113" s="10" t="s">
        <v>58</v>
      </c>
      <c r="AE1113" s="11">
        <v>42749</v>
      </c>
      <c r="AF1113" s="12">
        <f t="shared" si="53"/>
        <v>7</v>
      </c>
      <c r="AG1113" s="11">
        <v>42755</v>
      </c>
      <c r="AH1113" s="11">
        <f t="shared" si="54"/>
        <v>42759</v>
      </c>
    </row>
    <row r="1114" spans="30:34">
      <c r="AD1114" s="10" t="s">
        <v>52</v>
      </c>
      <c r="AE1114" s="11">
        <v>42750</v>
      </c>
      <c r="AF1114" s="12">
        <f t="shared" si="53"/>
        <v>1</v>
      </c>
      <c r="AG1114" s="11">
        <v>42755</v>
      </c>
      <c r="AH1114" s="11">
        <f t="shared" si="54"/>
        <v>42759</v>
      </c>
    </row>
    <row r="1115" spans="30:34">
      <c r="AD1115" s="10" t="s">
        <v>53</v>
      </c>
      <c r="AE1115" s="11">
        <v>42751</v>
      </c>
      <c r="AF1115" s="12">
        <f t="shared" si="53"/>
        <v>2</v>
      </c>
      <c r="AG1115" s="11">
        <f t="shared" si="52"/>
        <v>42755</v>
      </c>
      <c r="AH1115" s="11">
        <f t="shared" si="54"/>
        <v>42759</v>
      </c>
    </row>
    <row r="1116" spans="30:34">
      <c r="AD1116" s="10" t="s">
        <v>54</v>
      </c>
      <c r="AE1116" s="11">
        <v>42752</v>
      </c>
      <c r="AF1116" s="12">
        <f t="shared" si="53"/>
        <v>3</v>
      </c>
      <c r="AG1116" s="11">
        <f t="shared" si="52"/>
        <v>42758</v>
      </c>
      <c r="AH1116" s="11">
        <f t="shared" si="54"/>
        <v>42760</v>
      </c>
    </row>
    <row r="1117" spans="30:34">
      <c r="AD1117" s="10" t="s">
        <v>55</v>
      </c>
      <c r="AE1117" s="11">
        <v>42753</v>
      </c>
      <c r="AF1117" s="12">
        <f t="shared" si="53"/>
        <v>4</v>
      </c>
      <c r="AG1117" s="11">
        <f t="shared" si="52"/>
        <v>42758</v>
      </c>
      <c r="AH1117" s="11">
        <f t="shared" si="54"/>
        <v>42760</v>
      </c>
    </row>
    <row r="1118" spans="30:34">
      <c r="AD1118" s="10" t="s">
        <v>56</v>
      </c>
      <c r="AE1118" s="11">
        <v>42754</v>
      </c>
      <c r="AF1118" s="12">
        <f t="shared" si="53"/>
        <v>5</v>
      </c>
      <c r="AG1118" s="11">
        <f t="shared" ref="AG1118:AG1181" si="55">AE1118+(VLOOKUP(AF1118, $AJ$4:$AK$10, 2, FALSE))</f>
        <v>42759</v>
      </c>
      <c r="AH1118" s="11">
        <f t="shared" si="54"/>
        <v>42761</v>
      </c>
    </row>
    <row r="1119" spans="30:34">
      <c r="AD1119" s="10" t="s">
        <v>57</v>
      </c>
      <c r="AE1119" s="11">
        <v>42755</v>
      </c>
      <c r="AF1119" s="12">
        <f t="shared" si="53"/>
        <v>6</v>
      </c>
      <c r="AG1119" s="11">
        <f t="shared" si="55"/>
        <v>42760</v>
      </c>
      <c r="AH1119" s="11">
        <f t="shared" si="54"/>
        <v>42762</v>
      </c>
    </row>
    <row r="1120" spans="30:34">
      <c r="AD1120" s="10" t="s">
        <v>58</v>
      </c>
      <c r="AE1120" s="11">
        <v>42756</v>
      </c>
      <c r="AF1120" s="12">
        <f t="shared" si="53"/>
        <v>7</v>
      </c>
      <c r="AG1120" s="11">
        <f t="shared" si="55"/>
        <v>42761</v>
      </c>
      <c r="AH1120" s="11">
        <f t="shared" si="54"/>
        <v>42765</v>
      </c>
    </row>
    <row r="1121" spans="30:34">
      <c r="AD1121" s="10" t="s">
        <v>52</v>
      </c>
      <c r="AE1121" s="11">
        <v>42757</v>
      </c>
      <c r="AF1121" s="12">
        <f t="shared" si="53"/>
        <v>1</v>
      </c>
      <c r="AG1121" s="11">
        <f t="shared" si="55"/>
        <v>42761</v>
      </c>
      <c r="AH1121" s="11">
        <f t="shared" si="54"/>
        <v>42765</v>
      </c>
    </row>
    <row r="1122" spans="30:34">
      <c r="AD1122" s="10" t="s">
        <v>53</v>
      </c>
      <c r="AE1122" s="11">
        <v>42758</v>
      </c>
      <c r="AF1122" s="12">
        <f t="shared" si="53"/>
        <v>2</v>
      </c>
      <c r="AG1122" s="11">
        <f t="shared" si="55"/>
        <v>42762</v>
      </c>
      <c r="AH1122" s="11">
        <f t="shared" si="54"/>
        <v>42766</v>
      </c>
    </row>
    <row r="1123" spans="30:34">
      <c r="AD1123" s="10" t="s">
        <v>54</v>
      </c>
      <c r="AE1123" s="11">
        <v>42759</v>
      </c>
      <c r="AF1123" s="12">
        <f t="shared" si="53"/>
        <v>3</v>
      </c>
      <c r="AG1123" s="11">
        <f t="shared" si="55"/>
        <v>42765</v>
      </c>
      <c r="AH1123" s="11">
        <f t="shared" si="54"/>
        <v>42767</v>
      </c>
    </row>
    <row r="1124" spans="30:34">
      <c r="AD1124" s="10" t="s">
        <v>55</v>
      </c>
      <c r="AE1124" s="11">
        <v>42760</v>
      </c>
      <c r="AF1124" s="12">
        <f t="shared" si="53"/>
        <v>4</v>
      </c>
      <c r="AG1124" s="11">
        <f t="shared" si="55"/>
        <v>42765</v>
      </c>
      <c r="AH1124" s="11">
        <f t="shared" si="54"/>
        <v>42767</v>
      </c>
    </row>
    <row r="1125" spans="30:34">
      <c r="AD1125" s="10" t="s">
        <v>56</v>
      </c>
      <c r="AE1125" s="11">
        <v>42761</v>
      </c>
      <c r="AF1125" s="12">
        <f t="shared" si="53"/>
        <v>5</v>
      </c>
      <c r="AG1125" s="11">
        <f t="shared" si="55"/>
        <v>42766</v>
      </c>
      <c r="AH1125" s="11">
        <f t="shared" si="54"/>
        <v>42768</v>
      </c>
    </row>
    <row r="1126" spans="30:34">
      <c r="AD1126" s="10" t="s">
        <v>57</v>
      </c>
      <c r="AE1126" s="11">
        <v>42762</v>
      </c>
      <c r="AF1126" s="12">
        <f t="shared" si="53"/>
        <v>6</v>
      </c>
      <c r="AG1126" s="11">
        <f t="shared" si="55"/>
        <v>42767</v>
      </c>
      <c r="AH1126" s="11">
        <f t="shared" si="54"/>
        <v>42769</v>
      </c>
    </row>
    <row r="1127" spans="30:34">
      <c r="AD1127" s="10" t="s">
        <v>58</v>
      </c>
      <c r="AE1127" s="11">
        <v>42763</v>
      </c>
      <c r="AF1127" s="12">
        <f t="shared" si="53"/>
        <v>7</v>
      </c>
      <c r="AG1127" s="11">
        <f t="shared" si="55"/>
        <v>42768</v>
      </c>
      <c r="AH1127" s="11">
        <f t="shared" si="54"/>
        <v>42772</v>
      </c>
    </row>
    <row r="1128" spans="30:34">
      <c r="AD1128" s="10" t="s">
        <v>52</v>
      </c>
      <c r="AE1128" s="11">
        <v>42764</v>
      </c>
      <c r="AF1128" s="12">
        <f t="shared" si="53"/>
        <v>1</v>
      </c>
      <c r="AG1128" s="11">
        <f t="shared" si="55"/>
        <v>42768</v>
      </c>
      <c r="AH1128" s="11">
        <f t="shared" si="54"/>
        <v>42772</v>
      </c>
    </row>
    <row r="1129" spans="30:34">
      <c r="AD1129" s="10" t="s">
        <v>53</v>
      </c>
      <c r="AE1129" s="11">
        <v>42765</v>
      </c>
      <c r="AF1129" s="12">
        <f t="shared" si="53"/>
        <v>2</v>
      </c>
      <c r="AG1129" s="11">
        <f t="shared" si="55"/>
        <v>42769</v>
      </c>
      <c r="AH1129" s="11">
        <f t="shared" si="54"/>
        <v>42773</v>
      </c>
    </row>
    <row r="1130" spans="30:34">
      <c r="AD1130" s="10" t="s">
        <v>54</v>
      </c>
      <c r="AE1130" s="11">
        <v>42766</v>
      </c>
      <c r="AF1130" s="12">
        <f t="shared" si="53"/>
        <v>3</v>
      </c>
      <c r="AG1130" s="11">
        <f t="shared" si="55"/>
        <v>42772</v>
      </c>
      <c r="AH1130" s="11">
        <f t="shared" si="54"/>
        <v>42774</v>
      </c>
    </row>
    <row r="1131" spans="30:34">
      <c r="AD1131" s="10" t="s">
        <v>55</v>
      </c>
      <c r="AE1131" s="11">
        <v>42767</v>
      </c>
      <c r="AF1131" s="12">
        <f t="shared" si="53"/>
        <v>4</v>
      </c>
      <c r="AG1131" s="11">
        <f t="shared" si="55"/>
        <v>42772</v>
      </c>
      <c r="AH1131" s="11">
        <f t="shared" si="54"/>
        <v>42774</v>
      </c>
    </row>
    <row r="1132" spans="30:34">
      <c r="AD1132" s="10" t="s">
        <v>56</v>
      </c>
      <c r="AE1132" s="11">
        <v>42768</v>
      </c>
      <c r="AF1132" s="12">
        <f t="shared" si="53"/>
        <v>5</v>
      </c>
      <c r="AG1132" s="11">
        <f t="shared" si="55"/>
        <v>42773</v>
      </c>
      <c r="AH1132" s="11">
        <f t="shared" si="54"/>
        <v>42775</v>
      </c>
    </row>
    <row r="1133" spans="30:34">
      <c r="AD1133" s="10" t="s">
        <v>57</v>
      </c>
      <c r="AE1133" s="11">
        <v>42769</v>
      </c>
      <c r="AF1133" s="12">
        <f t="shared" si="53"/>
        <v>6</v>
      </c>
      <c r="AG1133" s="11">
        <f t="shared" si="55"/>
        <v>42774</v>
      </c>
      <c r="AH1133" s="11">
        <f t="shared" si="54"/>
        <v>42776</v>
      </c>
    </row>
    <row r="1134" spans="30:34">
      <c r="AD1134" s="10" t="s">
        <v>58</v>
      </c>
      <c r="AE1134" s="11">
        <v>42770</v>
      </c>
      <c r="AF1134" s="12">
        <f t="shared" si="53"/>
        <v>7</v>
      </c>
      <c r="AG1134" s="11">
        <f t="shared" si="55"/>
        <v>42775</v>
      </c>
      <c r="AH1134" s="11">
        <f t="shared" si="54"/>
        <v>42779</v>
      </c>
    </row>
    <row r="1135" spans="30:34">
      <c r="AD1135" s="10" t="s">
        <v>52</v>
      </c>
      <c r="AE1135" s="11">
        <v>42771</v>
      </c>
      <c r="AF1135" s="12">
        <f t="shared" si="53"/>
        <v>1</v>
      </c>
      <c r="AG1135" s="11">
        <f t="shared" si="55"/>
        <v>42775</v>
      </c>
      <c r="AH1135" s="11">
        <f t="shared" si="54"/>
        <v>42779</v>
      </c>
    </row>
    <row r="1136" spans="30:34">
      <c r="AD1136" s="10" t="s">
        <v>53</v>
      </c>
      <c r="AE1136" s="11">
        <v>42772</v>
      </c>
      <c r="AF1136" s="12">
        <f t="shared" si="53"/>
        <v>2</v>
      </c>
      <c r="AG1136" s="11">
        <f t="shared" si="55"/>
        <v>42776</v>
      </c>
      <c r="AH1136" s="11">
        <f t="shared" si="54"/>
        <v>42780</v>
      </c>
    </row>
    <row r="1137" spans="30:34">
      <c r="AD1137" s="10" t="s">
        <v>54</v>
      </c>
      <c r="AE1137" s="11">
        <v>42773</v>
      </c>
      <c r="AF1137" s="12">
        <f t="shared" si="53"/>
        <v>3</v>
      </c>
      <c r="AG1137" s="11">
        <f t="shared" si="55"/>
        <v>42779</v>
      </c>
      <c r="AH1137" s="11">
        <f t="shared" si="54"/>
        <v>42781</v>
      </c>
    </row>
    <row r="1138" spans="30:34">
      <c r="AD1138" s="10" t="s">
        <v>55</v>
      </c>
      <c r="AE1138" s="11">
        <v>42774</v>
      </c>
      <c r="AF1138" s="12">
        <f t="shared" si="53"/>
        <v>4</v>
      </c>
      <c r="AG1138" s="11">
        <f t="shared" si="55"/>
        <v>42779</v>
      </c>
      <c r="AH1138" s="11">
        <f t="shared" si="54"/>
        <v>42781</v>
      </c>
    </row>
    <row r="1139" spans="30:34">
      <c r="AD1139" s="10" t="s">
        <v>56</v>
      </c>
      <c r="AE1139" s="11">
        <v>42775</v>
      </c>
      <c r="AF1139" s="12">
        <f t="shared" si="53"/>
        <v>5</v>
      </c>
      <c r="AG1139" s="11">
        <f t="shared" si="55"/>
        <v>42780</v>
      </c>
      <c r="AH1139" s="11">
        <f t="shared" si="54"/>
        <v>42782</v>
      </c>
    </row>
    <row r="1140" spans="30:34">
      <c r="AD1140" s="10" t="s">
        <v>57</v>
      </c>
      <c r="AE1140" s="11">
        <v>42776</v>
      </c>
      <c r="AF1140" s="12">
        <f t="shared" si="53"/>
        <v>6</v>
      </c>
      <c r="AG1140" s="11">
        <f t="shared" si="55"/>
        <v>42781</v>
      </c>
      <c r="AH1140" s="11">
        <f t="shared" si="54"/>
        <v>42783</v>
      </c>
    </row>
    <row r="1141" spans="30:34">
      <c r="AD1141" s="10" t="s">
        <v>58</v>
      </c>
      <c r="AE1141" s="11">
        <v>42777</v>
      </c>
      <c r="AF1141" s="12">
        <f t="shared" si="53"/>
        <v>7</v>
      </c>
      <c r="AG1141" s="11">
        <f t="shared" si="55"/>
        <v>42782</v>
      </c>
      <c r="AH1141" s="11">
        <f t="shared" si="54"/>
        <v>42787</v>
      </c>
    </row>
    <row r="1142" spans="30:34">
      <c r="AD1142" s="10" t="s">
        <v>52</v>
      </c>
      <c r="AE1142" s="11">
        <v>42778</v>
      </c>
      <c r="AF1142" s="12">
        <f t="shared" si="53"/>
        <v>1</v>
      </c>
      <c r="AG1142" s="11">
        <f t="shared" si="55"/>
        <v>42782</v>
      </c>
      <c r="AH1142" s="11">
        <f t="shared" si="54"/>
        <v>42787</v>
      </c>
    </row>
    <row r="1143" spans="30:34">
      <c r="AD1143" s="10" t="s">
        <v>53</v>
      </c>
      <c r="AE1143" s="11">
        <v>42779</v>
      </c>
      <c r="AF1143" s="12">
        <f t="shared" si="53"/>
        <v>2</v>
      </c>
      <c r="AG1143" s="11">
        <f t="shared" si="55"/>
        <v>42783</v>
      </c>
      <c r="AH1143" s="11">
        <f t="shared" si="54"/>
        <v>42788</v>
      </c>
    </row>
    <row r="1144" spans="30:34">
      <c r="AD1144" s="10" t="s">
        <v>54</v>
      </c>
      <c r="AE1144" s="11">
        <v>42780</v>
      </c>
      <c r="AF1144" s="12">
        <f t="shared" si="53"/>
        <v>3</v>
      </c>
      <c r="AG1144" s="11">
        <v>42787</v>
      </c>
      <c r="AH1144" s="11">
        <f t="shared" si="54"/>
        <v>42789</v>
      </c>
    </row>
    <row r="1145" spans="30:34">
      <c r="AD1145" s="10" t="s">
        <v>55</v>
      </c>
      <c r="AE1145" s="11">
        <v>42781</v>
      </c>
      <c r="AF1145" s="12">
        <f t="shared" si="53"/>
        <v>4</v>
      </c>
      <c r="AG1145" s="11">
        <f t="shared" si="55"/>
        <v>42786</v>
      </c>
      <c r="AH1145" s="11">
        <f t="shared" si="54"/>
        <v>42788</v>
      </c>
    </row>
    <row r="1146" spans="30:34">
      <c r="AD1146" s="10" t="s">
        <v>56</v>
      </c>
      <c r="AE1146" s="11">
        <v>42782</v>
      </c>
      <c r="AF1146" s="12">
        <f t="shared" si="53"/>
        <v>5</v>
      </c>
      <c r="AG1146" s="11">
        <v>42788</v>
      </c>
      <c r="AH1146" s="11">
        <f t="shared" si="54"/>
        <v>42790</v>
      </c>
    </row>
    <row r="1147" spans="30:34">
      <c r="AD1147" s="10" t="s">
        <v>57</v>
      </c>
      <c r="AE1147" s="11">
        <v>42783</v>
      </c>
      <c r="AF1147" s="12">
        <f t="shared" si="53"/>
        <v>6</v>
      </c>
      <c r="AG1147" s="11">
        <v>42789</v>
      </c>
      <c r="AH1147" s="11">
        <f t="shared" si="54"/>
        <v>42793</v>
      </c>
    </row>
    <row r="1148" spans="30:34">
      <c r="AD1148" s="10" t="s">
        <v>58</v>
      </c>
      <c r="AE1148" s="11">
        <v>42784</v>
      </c>
      <c r="AF1148" s="12">
        <f t="shared" si="53"/>
        <v>7</v>
      </c>
      <c r="AG1148" s="11">
        <v>42790</v>
      </c>
      <c r="AH1148" s="11">
        <f t="shared" si="54"/>
        <v>42794</v>
      </c>
    </row>
    <row r="1149" spans="30:34">
      <c r="AD1149" s="10" t="s">
        <v>52</v>
      </c>
      <c r="AE1149" s="11">
        <v>42785</v>
      </c>
      <c r="AF1149" s="12">
        <f t="shared" si="53"/>
        <v>1</v>
      </c>
      <c r="AG1149" s="11">
        <v>42790</v>
      </c>
      <c r="AH1149" s="11">
        <f t="shared" si="54"/>
        <v>42794</v>
      </c>
    </row>
    <row r="1150" spans="30:34">
      <c r="AD1150" s="10" t="s">
        <v>53</v>
      </c>
      <c r="AE1150" s="11">
        <v>42786</v>
      </c>
      <c r="AF1150" s="12">
        <f t="shared" si="53"/>
        <v>2</v>
      </c>
      <c r="AG1150" s="11">
        <f t="shared" si="55"/>
        <v>42790</v>
      </c>
      <c r="AH1150" s="11">
        <f t="shared" si="54"/>
        <v>42794</v>
      </c>
    </row>
    <row r="1151" spans="30:34">
      <c r="AD1151" s="10" t="s">
        <v>54</v>
      </c>
      <c r="AE1151" s="11">
        <v>42787</v>
      </c>
      <c r="AF1151" s="12">
        <f t="shared" si="53"/>
        <v>3</v>
      </c>
      <c r="AG1151" s="11">
        <f t="shared" si="55"/>
        <v>42793</v>
      </c>
      <c r="AH1151" s="11">
        <f t="shared" si="54"/>
        <v>42795</v>
      </c>
    </row>
    <row r="1152" spans="30:34">
      <c r="AD1152" s="10" t="s">
        <v>55</v>
      </c>
      <c r="AE1152" s="11">
        <v>42788</v>
      </c>
      <c r="AF1152" s="12">
        <f t="shared" si="53"/>
        <v>4</v>
      </c>
      <c r="AG1152" s="11">
        <f t="shared" si="55"/>
        <v>42793</v>
      </c>
      <c r="AH1152" s="11">
        <f t="shared" si="54"/>
        <v>42795</v>
      </c>
    </row>
    <row r="1153" spans="30:34">
      <c r="AD1153" s="10" t="s">
        <v>56</v>
      </c>
      <c r="AE1153" s="11">
        <v>42789</v>
      </c>
      <c r="AF1153" s="12">
        <f t="shared" si="53"/>
        <v>5</v>
      </c>
      <c r="AG1153" s="11">
        <f t="shared" si="55"/>
        <v>42794</v>
      </c>
      <c r="AH1153" s="11">
        <f t="shared" si="54"/>
        <v>42796</v>
      </c>
    </row>
    <row r="1154" spans="30:34">
      <c r="AD1154" s="10" t="s">
        <v>57</v>
      </c>
      <c r="AE1154" s="11">
        <v>42790</v>
      </c>
      <c r="AF1154" s="12">
        <f t="shared" si="53"/>
        <v>6</v>
      </c>
      <c r="AG1154" s="11">
        <f t="shared" si="55"/>
        <v>42795</v>
      </c>
      <c r="AH1154" s="11">
        <f t="shared" si="54"/>
        <v>42797</v>
      </c>
    </row>
    <row r="1155" spans="30:34">
      <c r="AD1155" s="10" t="s">
        <v>58</v>
      </c>
      <c r="AE1155" s="11">
        <v>42791</v>
      </c>
      <c r="AF1155" s="12">
        <f t="shared" si="53"/>
        <v>7</v>
      </c>
      <c r="AG1155" s="11">
        <f t="shared" si="55"/>
        <v>42796</v>
      </c>
      <c r="AH1155" s="11">
        <f t="shared" si="54"/>
        <v>42800</v>
      </c>
    </row>
    <row r="1156" spans="30:34">
      <c r="AD1156" s="10" t="s">
        <v>52</v>
      </c>
      <c r="AE1156" s="11">
        <v>42792</v>
      </c>
      <c r="AF1156" s="12">
        <f t="shared" si="53"/>
        <v>1</v>
      </c>
      <c r="AG1156" s="11">
        <f t="shared" si="55"/>
        <v>42796</v>
      </c>
      <c r="AH1156" s="11">
        <f t="shared" si="54"/>
        <v>42800</v>
      </c>
    </row>
    <row r="1157" spans="30:34">
      <c r="AD1157" s="10" t="s">
        <v>53</v>
      </c>
      <c r="AE1157" s="11">
        <v>42793</v>
      </c>
      <c r="AF1157" s="12">
        <f t="shared" ref="AF1157:AF1220" si="56">WEEKDAY(AE1157)</f>
        <v>2</v>
      </c>
      <c r="AG1157" s="11">
        <f t="shared" si="55"/>
        <v>42797</v>
      </c>
      <c r="AH1157" s="11">
        <f t="shared" ref="AH1157:AH1220" si="57">IFERROR((WORKDAY(AG1157, 2, AC$4:AC$53)), "")</f>
        <v>42801</v>
      </c>
    </row>
    <row r="1158" spans="30:34">
      <c r="AD1158" s="10" t="s">
        <v>54</v>
      </c>
      <c r="AE1158" s="11">
        <v>42794</v>
      </c>
      <c r="AF1158" s="12">
        <f t="shared" si="56"/>
        <v>3</v>
      </c>
      <c r="AG1158" s="11">
        <f t="shared" si="55"/>
        <v>42800</v>
      </c>
      <c r="AH1158" s="11">
        <f t="shared" si="57"/>
        <v>42802</v>
      </c>
    </row>
    <row r="1159" spans="30:34">
      <c r="AD1159" s="10" t="s">
        <v>55</v>
      </c>
      <c r="AE1159" s="11">
        <v>42795</v>
      </c>
      <c r="AF1159" s="12">
        <f t="shared" si="56"/>
        <v>4</v>
      </c>
      <c r="AG1159" s="11">
        <f t="shared" si="55"/>
        <v>42800</v>
      </c>
      <c r="AH1159" s="11">
        <f t="shared" si="57"/>
        <v>42802</v>
      </c>
    </row>
    <row r="1160" spans="30:34">
      <c r="AD1160" s="10" t="s">
        <v>56</v>
      </c>
      <c r="AE1160" s="11">
        <v>42796</v>
      </c>
      <c r="AF1160" s="12">
        <f t="shared" si="56"/>
        <v>5</v>
      </c>
      <c r="AG1160" s="11">
        <f t="shared" si="55"/>
        <v>42801</v>
      </c>
      <c r="AH1160" s="11">
        <f t="shared" si="57"/>
        <v>42803</v>
      </c>
    </row>
    <row r="1161" spans="30:34">
      <c r="AD1161" s="10" t="s">
        <v>57</v>
      </c>
      <c r="AE1161" s="11">
        <v>42797</v>
      </c>
      <c r="AF1161" s="12">
        <f t="shared" si="56"/>
        <v>6</v>
      </c>
      <c r="AG1161" s="11">
        <f t="shared" si="55"/>
        <v>42802</v>
      </c>
      <c r="AH1161" s="11">
        <f t="shared" si="57"/>
        <v>42804</v>
      </c>
    </row>
    <row r="1162" spans="30:34">
      <c r="AD1162" s="10" t="s">
        <v>58</v>
      </c>
      <c r="AE1162" s="11">
        <v>42798</v>
      </c>
      <c r="AF1162" s="12">
        <f t="shared" si="56"/>
        <v>7</v>
      </c>
      <c r="AG1162" s="11">
        <f t="shared" si="55"/>
        <v>42803</v>
      </c>
      <c r="AH1162" s="11">
        <f t="shared" si="57"/>
        <v>42807</v>
      </c>
    </row>
    <row r="1163" spans="30:34">
      <c r="AD1163" s="10" t="s">
        <v>52</v>
      </c>
      <c r="AE1163" s="11">
        <v>42799</v>
      </c>
      <c r="AF1163" s="12">
        <f t="shared" si="56"/>
        <v>1</v>
      </c>
      <c r="AG1163" s="11">
        <f t="shared" si="55"/>
        <v>42803</v>
      </c>
      <c r="AH1163" s="11">
        <f t="shared" si="57"/>
        <v>42807</v>
      </c>
    </row>
    <row r="1164" spans="30:34">
      <c r="AD1164" s="10" t="s">
        <v>53</v>
      </c>
      <c r="AE1164" s="11">
        <v>42800</v>
      </c>
      <c r="AF1164" s="12">
        <f t="shared" si="56"/>
        <v>2</v>
      </c>
      <c r="AG1164" s="11">
        <f t="shared" si="55"/>
        <v>42804</v>
      </c>
      <c r="AH1164" s="11">
        <f t="shared" si="57"/>
        <v>42808</v>
      </c>
    </row>
    <row r="1165" spans="30:34">
      <c r="AD1165" s="10" t="s">
        <v>54</v>
      </c>
      <c r="AE1165" s="11">
        <v>42801</v>
      </c>
      <c r="AF1165" s="12">
        <f t="shared" si="56"/>
        <v>3</v>
      </c>
      <c r="AG1165" s="11">
        <f t="shared" si="55"/>
        <v>42807</v>
      </c>
      <c r="AH1165" s="11">
        <f t="shared" si="57"/>
        <v>42809</v>
      </c>
    </row>
    <row r="1166" spans="30:34">
      <c r="AD1166" s="10" t="s">
        <v>55</v>
      </c>
      <c r="AE1166" s="11">
        <v>42802</v>
      </c>
      <c r="AF1166" s="12">
        <f t="shared" si="56"/>
        <v>4</v>
      </c>
      <c r="AG1166" s="11">
        <f t="shared" si="55"/>
        <v>42807</v>
      </c>
      <c r="AH1166" s="11">
        <f t="shared" si="57"/>
        <v>42809</v>
      </c>
    </row>
    <row r="1167" spans="30:34">
      <c r="AD1167" s="10" t="s">
        <v>56</v>
      </c>
      <c r="AE1167" s="11">
        <v>42803</v>
      </c>
      <c r="AF1167" s="12">
        <f t="shared" si="56"/>
        <v>5</v>
      </c>
      <c r="AG1167" s="11">
        <f t="shared" si="55"/>
        <v>42808</v>
      </c>
      <c r="AH1167" s="11">
        <f t="shared" si="57"/>
        <v>42810</v>
      </c>
    </row>
    <row r="1168" spans="30:34">
      <c r="AD1168" s="10" t="s">
        <v>57</v>
      </c>
      <c r="AE1168" s="11">
        <v>42804</v>
      </c>
      <c r="AF1168" s="12">
        <f t="shared" si="56"/>
        <v>6</v>
      </c>
      <c r="AG1168" s="11">
        <f t="shared" si="55"/>
        <v>42809</v>
      </c>
      <c r="AH1168" s="11">
        <f t="shared" si="57"/>
        <v>42811</v>
      </c>
    </row>
    <row r="1169" spans="30:34">
      <c r="AD1169" s="10" t="s">
        <v>58</v>
      </c>
      <c r="AE1169" s="11">
        <v>42805</v>
      </c>
      <c r="AF1169" s="12">
        <f t="shared" si="56"/>
        <v>7</v>
      </c>
      <c r="AG1169" s="11">
        <f t="shared" si="55"/>
        <v>42810</v>
      </c>
      <c r="AH1169" s="11">
        <f t="shared" si="57"/>
        <v>42814</v>
      </c>
    </row>
    <row r="1170" spans="30:34">
      <c r="AD1170" s="10" t="s">
        <v>52</v>
      </c>
      <c r="AE1170" s="11">
        <v>42806</v>
      </c>
      <c r="AF1170" s="12">
        <f t="shared" si="56"/>
        <v>1</v>
      </c>
      <c r="AG1170" s="11">
        <f t="shared" si="55"/>
        <v>42810</v>
      </c>
      <c r="AH1170" s="11">
        <f t="shared" si="57"/>
        <v>42814</v>
      </c>
    </row>
    <row r="1171" spans="30:34">
      <c r="AD1171" s="10" t="s">
        <v>53</v>
      </c>
      <c r="AE1171" s="11">
        <v>42807</v>
      </c>
      <c r="AF1171" s="12">
        <f t="shared" si="56"/>
        <v>2</v>
      </c>
      <c r="AG1171" s="11">
        <f t="shared" si="55"/>
        <v>42811</v>
      </c>
      <c r="AH1171" s="11">
        <f t="shared" si="57"/>
        <v>42815</v>
      </c>
    </row>
    <row r="1172" spans="30:34">
      <c r="AD1172" s="10" t="s">
        <v>54</v>
      </c>
      <c r="AE1172" s="11">
        <v>42808</v>
      </c>
      <c r="AF1172" s="12">
        <f t="shared" si="56"/>
        <v>3</v>
      </c>
      <c r="AG1172" s="11">
        <f t="shared" si="55"/>
        <v>42814</v>
      </c>
      <c r="AH1172" s="11">
        <f t="shared" si="57"/>
        <v>42816</v>
      </c>
    </row>
    <row r="1173" spans="30:34">
      <c r="AD1173" s="10" t="s">
        <v>55</v>
      </c>
      <c r="AE1173" s="11">
        <v>42809</v>
      </c>
      <c r="AF1173" s="12">
        <f t="shared" si="56"/>
        <v>4</v>
      </c>
      <c r="AG1173" s="11">
        <f t="shared" si="55"/>
        <v>42814</v>
      </c>
      <c r="AH1173" s="11">
        <f t="shared" si="57"/>
        <v>42816</v>
      </c>
    </row>
    <row r="1174" spans="30:34">
      <c r="AD1174" s="10" t="s">
        <v>56</v>
      </c>
      <c r="AE1174" s="11">
        <v>42810</v>
      </c>
      <c r="AF1174" s="12">
        <f t="shared" si="56"/>
        <v>5</v>
      </c>
      <c r="AG1174" s="11">
        <f t="shared" si="55"/>
        <v>42815</v>
      </c>
      <c r="AH1174" s="11">
        <f t="shared" si="57"/>
        <v>42817</v>
      </c>
    </row>
    <row r="1175" spans="30:34">
      <c r="AD1175" s="10" t="s">
        <v>57</v>
      </c>
      <c r="AE1175" s="11">
        <v>42811</v>
      </c>
      <c r="AF1175" s="12">
        <f t="shared" si="56"/>
        <v>6</v>
      </c>
      <c r="AG1175" s="11">
        <f t="shared" si="55"/>
        <v>42816</v>
      </c>
      <c r="AH1175" s="11">
        <f t="shared" si="57"/>
        <v>42818</v>
      </c>
    </row>
    <row r="1176" spans="30:34">
      <c r="AD1176" s="10" t="s">
        <v>58</v>
      </c>
      <c r="AE1176" s="11">
        <v>42812</v>
      </c>
      <c r="AF1176" s="12">
        <f t="shared" si="56"/>
        <v>7</v>
      </c>
      <c r="AG1176" s="11">
        <f t="shared" si="55"/>
        <v>42817</v>
      </c>
      <c r="AH1176" s="11">
        <f t="shared" si="57"/>
        <v>42821</v>
      </c>
    </row>
    <row r="1177" spans="30:34">
      <c r="AD1177" s="10" t="s">
        <v>52</v>
      </c>
      <c r="AE1177" s="11">
        <v>42813</v>
      </c>
      <c r="AF1177" s="12">
        <f t="shared" si="56"/>
        <v>1</v>
      </c>
      <c r="AG1177" s="11">
        <f t="shared" si="55"/>
        <v>42817</v>
      </c>
      <c r="AH1177" s="11">
        <f t="shared" si="57"/>
        <v>42821</v>
      </c>
    </row>
    <row r="1178" spans="30:34">
      <c r="AD1178" s="10" t="s">
        <v>53</v>
      </c>
      <c r="AE1178" s="11">
        <v>42814</v>
      </c>
      <c r="AF1178" s="12">
        <f t="shared" si="56"/>
        <v>2</v>
      </c>
      <c r="AG1178" s="11">
        <f t="shared" si="55"/>
        <v>42818</v>
      </c>
      <c r="AH1178" s="11">
        <f t="shared" si="57"/>
        <v>42822</v>
      </c>
    </row>
    <row r="1179" spans="30:34">
      <c r="AD1179" s="10" t="s">
        <v>54</v>
      </c>
      <c r="AE1179" s="11">
        <v>42815</v>
      </c>
      <c r="AF1179" s="12">
        <f t="shared" si="56"/>
        <v>3</v>
      </c>
      <c r="AG1179" s="11">
        <f t="shared" si="55"/>
        <v>42821</v>
      </c>
      <c r="AH1179" s="11">
        <f t="shared" si="57"/>
        <v>42823</v>
      </c>
    </row>
    <row r="1180" spans="30:34">
      <c r="AD1180" s="10" t="s">
        <v>55</v>
      </c>
      <c r="AE1180" s="11">
        <v>42816</v>
      </c>
      <c r="AF1180" s="12">
        <f t="shared" si="56"/>
        <v>4</v>
      </c>
      <c r="AG1180" s="11">
        <f t="shared" si="55"/>
        <v>42821</v>
      </c>
      <c r="AH1180" s="11">
        <f t="shared" si="57"/>
        <v>42823</v>
      </c>
    </row>
    <row r="1181" spans="30:34">
      <c r="AD1181" s="10" t="s">
        <v>56</v>
      </c>
      <c r="AE1181" s="11">
        <v>42817</v>
      </c>
      <c r="AF1181" s="12">
        <f t="shared" si="56"/>
        <v>5</v>
      </c>
      <c r="AG1181" s="11">
        <f t="shared" si="55"/>
        <v>42822</v>
      </c>
      <c r="AH1181" s="11">
        <f t="shared" si="57"/>
        <v>42824</v>
      </c>
    </row>
    <row r="1182" spans="30:34">
      <c r="AD1182" s="10" t="s">
        <v>57</v>
      </c>
      <c r="AE1182" s="11">
        <v>42818</v>
      </c>
      <c r="AF1182" s="12">
        <f t="shared" si="56"/>
        <v>6</v>
      </c>
      <c r="AG1182" s="11">
        <f t="shared" ref="AG1182:AG1241" si="58">AE1182+(VLOOKUP(AF1182, $AJ$4:$AK$10, 2, FALSE))</f>
        <v>42823</v>
      </c>
      <c r="AH1182" s="11">
        <f t="shared" si="57"/>
        <v>42825</v>
      </c>
    </row>
    <row r="1183" spans="30:34">
      <c r="AD1183" s="10" t="s">
        <v>58</v>
      </c>
      <c r="AE1183" s="11">
        <v>42819</v>
      </c>
      <c r="AF1183" s="12">
        <f t="shared" si="56"/>
        <v>7</v>
      </c>
      <c r="AG1183" s="11">
        <f t="shared" si="58"/>
        <v>42824</v>
      </c>
      <c r="AH1183" s="11">
        <f t="shared" si="57"/>
        <v>42828</v>
      </c>
    </row>
    <row r="1184" spans="30:34">
      <c r="AD1184" s="10" t="s">
        <v>52</v>
      </c>
      <c r="AE1184" s="11">
        <v>42820</v>
      </c>
      <c r="AF1184" s="12">
        <f t="shared" si="56"/>
        <v>1</v>
      </c>
      <c r="AG1184" s="11">
        <f t="shared" si="58"/>
        <v>42824</v>
      </c>
      <c r="AH1184" s="11">
        <f t="shared" si="57"/>
        <v>42828</v>
      </c>
    </row>
    <row r="1185" spans="30:34">
      <c r="AD1185" s="10" t="s">
        <v>53</v>
      </c>
      <c r="AE1185" s="11">
        <v>42821</v>
      </c>
      <c r="AF1185" s="12">
        <f t="shared" si="56"/>
        <v>2</v>
      </c>
      <c r="AG1185" s="11">
        <f t="shared" si="58"/>
        <v>42825</v>
      </c>
      <c r="AH1185" s="11">
        <f t="shared" si="57"/>
        <v>42829</v>
      </c>
    </row>
    <row r="1186" spans="30:34">
      <c r="AD1186" s="10" t="s">
        <v>54</v>
      </c>
      <c r="AE1186" s="11">
        <v>42822</v>
      </c>
      <c r="AF1186" s="12">
        <f t="shared" si="56"/>
        <v>3</v>
      </c>
      <c r="AG1186" s="11">
        <f t="shared" si="58"/>
        <v>42828</v>
      </c>
      <c r="AH1186" s="11">
        <f t="shared" si="57"/>
        <v>42830</v>
      </c>
    </row>
    <row r="1187" spans="30:34">
      <c r="AD1187" s="10" t="s">
        <v>55</v>
      </c>
      <c r="AE1187" s="11">
        <v>42823</v>
      </c>
      <c r="AF1187" s="12">
        <f t="shared" si="56"/>
        <v>4</v>
      </c>
      <c r="AG1187" s="11">
        <f t="shared" si="58"/>
        <v>42828</v>
      </c>
      <c r="AH1187" s="11">
        <f t="shared" si="57"/>
        <v>42830</v>
      </c>
    </row>
    <row r="1188" spans="30:34">
      <c r="AD1188" s="10" t="s">
        <v>56</v>
      </c>
      <c r="AE1188" s="11">
        <v>42824</v>
      </c>
      <c r="AF1188" s="12">
        <f t="shared" si="56"/>
        <v>5</v>
      </c>
      <c r="AG1188" s="11">
        <f t="shared" si="58"/>
        <v>42829</v>
      </c>
      <c r="AH1188" s="11">
        <f t="shared" si="57"/>
        <v>42831</v>
      </c>
    </row>
    <row r="1189" spans="30:34">
      <c r="AD1189" s="10" t="s">
        <v>57</v>
      </c>
      <c r="AE1189" s="11">
        <v>42825</v>
      </c>
      <c r="AF1189" s="12">
        <f t="shared" si="56"/>
        <v>6</v>
      </c>
      <c r="AG1189" s="11">
        <f t="shared" si="58"/>
        <v>42830</v>
      </c>
      <c r="AH1189" s="11">
        <f t="shared" si="57"/>
        <v>42832</v>
      </c>
    </row>
    <row r="1190" spans="30:34">
      <c r="AD1190" s="10" t="s">
        <v>58</v>
      </c>
      <c r="AE1190" s="11">
        <v>42826</v>
      </c>
      <c r="AF1190" s="12">
        <f t="shared" si="56"/>
        <v>7</v>
      </c>
      <c r="AG1190" s="11">
        <f t="shared" si="58"/>
        <v>42831</v>
      </c>
      <c r="AH1190" s="11">
        <f t="shared" si="57"/>
        <v>42835</v>
      </c>
    </row>
    <row r="1191" spans="30:34">
      <c r="AD1191" s="10" t="s">
        <v>52</v>
      </c>
      <c r="AE1191" s="11">
        <v>42827</v>
      </c>
      <c r="AF1191" s="12">
        <f t="shared" si="56"/>
        <v>1</v>
      </c>
      <c r="AG1191" s="11">
        <f t="shared" si="58"/>
        <v>42831</v>
      </c>
      <c r="AH1191" s="11">
        <f t="shared" si="57"/>
        <v>42835</v>
      </c>
    </row>
    <row r="1192" spans="30:34">
      <c r="AD1192" s="10" t="s">
        <v>53</v>
      </c>
      <c r="AE1192" s="11">
        <v>42828</v>
      </c>
      <c r="AF1192" s="12">
        <f t="shared" si="56"/>
        <v>2</v>
      </c>
      <c r="AG1192" s="11">
        <f t="shared" si="58"/>
        <v>42832</v>
      </c>
      <c r="AH1192" s="11">
        <f t="shared" si="57"/>
        <v>42836</v>
      </c>
    </row>
    <row r="1193" spans="30:34">
      <c r="AD1193" s="10" t="s">
        <v>54</v>
      </c>
      <c r="AE1193" s="11">
        <v>42829</v>
      </c>
      <c r="AF1193" s="12">
        <f t="shared" si="56"/>
        <v>3</v>
      </c>
      <c r="AG1193" s="11">
        <f t="shared" si="58"/>
        <v>42835</v>
      </c>
      <c r="AH1193" s="11">
        <f t="shared" si="57"/>
        <v>42837</v>
      </c>
    </row>
    <row r="1194" spans="30:34">
      <c r="AD1194" s="10" t="s">
        <v>55</v>
      </c>
      <c r="AE1194" s="11">
        <v>42830</v>
      </c>
      <c r="AF1194" s="12">
        <f t="shared" si="56"/>
        <v>4</v>
      </c>
      <c r="AG1194" s="11">
        <f t="shared" si="58"/>
        <v>42835</v>
      </c>
      <c r="AH1194" s="11">
        <f t="shared" si="57"/>
        <v>42837</v>
      </c>
    </row>
    <row r="1195" spans="30:34">
      <c r="AD1195" s="10" t="s">
        <v>56</v>
      </c>
      <c r="AE1195" s="11">
        <v>42831</v>
      </c>
      <c r="AF1195" s="12">
        <f t="shared" si="56"/>
        <v>5</v>
      </c>
      <c r="AG1195" s="11">
        <f t="shared" si="58"/>
        <v>42836</v>
      </c>
      <c r="AH1195" s="11">
        <f t="shared" si="57"/>
        <v>42838</v>
      </c>
    </row>
    <row r="1196" spans="30:34">
      <c r="AD1196" s="10" t="s">
        <v>57</v>
      </c>
      <c r="AE1196" s="11">
        <v>42832</v>
      </c>
      <c r="AF1196" s="12">
        <f t="shared" si="56"/>
        <v>6</v>
      </c>
      <c r="AG1196" s="11">
        <f t="shared" si="58"/>
        <v>42837</v>
      </c>
      <c r="AH1196" s="11">
        <f t="shared" si="57"/>
        <v>42839</v>
      </c>
    </row>
    <row r="1197" spans="30:34">
      <c r="AD1197" s="10" t="s">
        <v>58</v>
      </c>
      <c r="AE1197" s="11">
        <v>42833</v>
      </c>
      <c r="AF1197" s="12">
        <f t="shared" si="56"/>
        <v>7</v>
      </c>
      <c r="AG1197" s="11">
        <f t="shared" si="58"/>
        <v>42838</v>
      </c>
      <c r="AH1197" s="11">
        <f t="shared" si="57"/>
        <v>42842</v>
      </c>
    </row>
    <row r="1198" spans="30:34">
      <c r="AD1198" s="10" t="s">
        <v>52</v>
      </c>
      <c r="AE1198" s="11">
        <v>42834</v>
      </c>
      <c r="AF1198" s="12">
        <f t="shared" si="56"/>
        <v>1</v>
      </c>
      <c r="AG1198" s="11">
        <f t="shared" si="58"/>
        <v>42838</v>
      </c>
      <c r="AH1198" s="11">
        <f t="shared" si="57"/>
        <v>42842</v>
      </c>
    </row>
    <row r="1199" spans="30:34">
      <c r="AD1199" s="10" t="s">
        <v>53</v>
      </c>
      <c r="AE1199" s="11">
        <v>42835</v>
      </c>
      <c r="AF1199" s="12">
        <f t="shared" si="56"/>
        <v>2</v>
      </c>
      <c r="AG1199" s="11">
        <f t="shared" si="58"/>
        <v>42839</v>
      </c>
      <c r="AH1199" s="11">
        <f t="shared" si="57"/>
        <v>42843</v>
      </c>
    </row>
    <row r="1200" spans="30:34">
      <c r="AD1200" s="10" t="s">
        <v>54</v>
      </c>
      <c r="AE1200" s="11">
        <v>42836</v>
      </c>
      <c r="AF1200" s="12">
        <f t="shared" si="56"/>
        <v>3</v>
      </c>
      <c r="AG1200" s="11">
        <f t="shared" si="58"/>
        <v>42842</v>
      </c>
      <c r="AH1200" s="11">
        <f t="shared" si="57"/>
        <v>42844</v>
      </c>
    </row>
    <row r="1201" spans="30:34">
      <c r="AD1201" s="10" t="s">
        <v>55</v>
      </c>
      <c r="AE1201" s="11">
        <v>42837</v>
      </c>
      <c r="AF1201" s="12">
        <f t="shared" si="56"/>
        <v>4</v>
      </c>
      <c r="AG1201" s="11">
        <f t="shared" si="58"/>
        <v>42842</v>
      </c>
      <c r="AH1201" s="11">
        <f t="shared" si="57"/>
        <v>42844</v>
      </c>
    </row>
    <row r="1202" spans="30:34">
      <c r="AD1202" s="10" t="s">
        <v>56</v>
      </c>
      <c r="AE1202" s="11">
        <v>42838</v>
      </c>
      <c r="AF1202" s="12">
        <f t="shared" si="56"/>
        <v>5</v>
      </c>
      <c r="AG1202" s="11">
        <f t="shared" si="58"/>
        <v>42843</v>
      </c>
      <c r="AH1202" s="11">
        <f t="shared" si="57"/>
        <v>42845</v>
      </c>
    </row>
    <row r="1203" spans="30:34">
      <c r="AD1203" s="10" t="s">
        <v>57</v>
      </c>
      <c r="AE1203" s="11">
        <v>42839</v>
      </c>
      <c r="AF1203" s="12">
        <f t="shared" si="56"/>
        <v>6</v>
      </c>
      <c r="AG1203" s="11">
        <f t="shared" si="58"/>
        <v>42844</v>
      </c>
      <c r="AH1203" s="11">
        <f t="shared" si="57"/>
        <v>42846</v>
      </c>
    </row>
    <row r="1204" spans="30:34">
      <c r="AD1204" s="10" t="s">
        <v>58</v>
      </c>
      <c r="AE1204" s="11">
        <v>42840</v>
      </c>
      <c r="AF1204" s="12">
        <f t="shared" si="56"/>
        <v>7</v>
      </c>
      <c r="AG1204" s="11">
        <f t="shared" si="58"/>
        <v>42845</v>
      </c>
      <c r="AH1204" s="11">
        <f t="shared" si="57"/>
        <v>42849</v>
      </c>
    </row>
    <row r="1205" spans="30:34">
      <c r="AD1205" s="10" t="s">
        <v>52</v>
      </c>
      <c r="AE1205" s="11">
        <v>42841</v>
      </c>
      <c r="AF1205" s="12">
        <f t="shared" si="56"/>
        <v>1</v>
      </c>
      <c r="AG1205" s="11">
        <f t="shared" si="58"/>
        <v>42845</v>
      </c>
      <c r="AH1205" s="11">
        <f t="shared" si="57"/>
        <v>42849</v>
      </c>
    </row>
    <row r="1206" spans="30:34">
      <c r="AD1206" s="10" t="s">
        <v>53</v>
      </c>
      <c r="AE1206" s="11">
        <v>42842</v>
      </c>
      <c r="AF1206" s="12">
        <f t="shared" si="56"/>
        <v>2</v>
      </c>
      <c r="AG1206" s="11">
        <f t="shared" si="58"/>
        <v>42846</v>
      </c>
      <c r="AH1206" s="11">
        <f t="shared" si="57"/>
        <v>42850</v>
      </c>
    </row>
    <row r="1207" spans="30:34">
      <c r="AD1207" s="10" t="s">
        <v>54</v>
      </c>
      <c r="AE1207" s="11">
        <v>42843</v>
      </c>
      <c r="AF1207" s="12">
        <f t="shared" si="56"/>
        <v>3</v>
      </c>
      <c r="AG1207" s="11">
        <f t="shared" si="58"/>
        <v>42849</v>
      </c>
      <c r="AH1207" s="11">
        <f t="shared" si="57"/>
        <v>42851</v>
      </c>
    </row>
    <row r="1208" spans="30:34">
      <c r="AD1208" s="10" t="s">
        <v>55</v>
      </c>
      <c r="AE1208" s="11">
        <v>42844</v>
      </c>
      <c r="AF1208" s="12">
        <f t="shared" si="56"/>
        <v>4</v>
      </c>
      <c r="AG1208" s="11">
        <f t="shared" si="58"/>
        <v>42849</v>
      </c>
      <c r="AH1208" s="11">
        <f t="shared" si="57"/>
        <v>42851</v>
      </c>
    </row>
    <row r="1209" spans="30:34">
      <c r="AD1209" s="10" t="s">
        <v>56</v>
      </c>
      <c r="AE1209" s="11">
        <v>42845</v>
      </c>
      <c r="AF1209" s="12">
        <f t="shared" si="56"/>
        <v>5</v>
      </c>
      <c r="AG1209" s="11">
        <f t="shared" si="58"/>
        <v>42850</v>
      </c>
      <c r="AH1209" s="11">
        <f t="shared" si="57"/>
        <v>42852</v>
      </c>
    </row>
    <row r="1210" spans="30:34">
      <c r="AD1210" s="10" t="s">
        <v>57</v>
      </c>
      <c r="AE1210" s="11">
        <v>42846</v>
      </c>
      <c r="AF1210" s="12">
        <f t="shared" si="56"/>
        <v>6</v>
      </c>
      <c r="AG1210" s="11">
        <f t="shared" si="58"/>
        <v>42851</v>
      </c>
      <c r="AH1210" s="11">
        <f t="shared" si="57"/>
        <v>42853</v>
      </c>
    </row>
    <row r="1211" spans="30:34">
      <c r="AD1211" s="10" t="s">
        <v>58</v>
      </c>
      <c r="AE1211" s="11">
        <v>42847</v>
      </c>
      <c r="AF1211" s="12">
        <f t="shared" si="56"/>
        <v>7</v>
      </c>
      <c r="AG1211" s="11">
        <f t="shared" si="58"/>
        <v>42852</v>
      </c>
      <c r="AH1211" s="11">
        <f t="shared" si="57"/>
        <v>42856</v>
      </c>
    </row>
    <row r="1212" spans="30:34">
      <c r="AD1212" s="10" t="s">
        <v>52</v>
      </c>
      <c r="AE1212" s="11">
        <v>42848</v>
      </c>
      <c r="AF1212" s="12">
        <f t="shared" si="56"/>
        <v>1</v>
      </c>
      <c r="AG1212" s="11">
        <f t="shared" si="58"/>
        <v>42852</v>
      </c>
      <c r="AH1212" s="11">
        <f t="shared" si="57"/>
        <v>42856</v>
      </c>
    </row>
    <row r="1213" spans="30:34">
      <c r="AD1213" s="10" t="s">
        <v>53</v>
      </c>
      <c r="AE1213" s="11">
        <v>42849</v>
      </c>
      <c r="AF1213" s="12">
        <f t="shared" si="56"/>
        <v>2</v>
      </c>
      <c r="AG1213" s="11">
        <f t="shared" si="58"/>
        <v>42853</v>
      </c>
      <c r="AH1213" s="11">
        <f t="shared" si="57"/>
        <v>42857</v>
      </c>
    </row>
    <row r="1214" spans="30:34">
      <c r="AD1214" s="10" t="s">
        <v>54</v>
      </c>
      <c r="AE1214" s="11">
        <v>42850</v>
      </c>
      <c r="AF1214" s="12">
        <f t="shared" si="56"/>
        <v>3</v>
      </c>
      <c r="AG1214" s="11">
        <f t="shared" si="58"/>
        <v>42856</v>
      </c>
      <c r="AH1214" s="11">
        <f t="shared" si="57"/>
        <v>42858</v>
      </c>
    </row>
    <row r="1215" spans="30:34">
      <c r="AD1215" s="10" t="s">
        <v>55</v>
      </c>
      <c r="AE1215" s="11">
        <v>42851</v>
      </c>
      <c r="AF1215" s="12">
        <f t="shared" si="56"/>
        <v>4</v>
      </c>
      <c r="AG1215" s="11">
        <f t="shared" si="58"/>
        <v>42856</v>
      </c>
      <c r="AH1215" s="11">
        <f t="shared" si="57"/>
        <v>42858</v>
      </c>
    </row>
    <row r="1216" spans="30:34">
      <c r="AD1216" s="10" t="s">
        <v>56</v>
      </c>
      <c r="AE1216" s="11">
        <v>42852</v>
      </c>
      <c r="AF1216" s="12">
        <f t="shared" si="56"/>
        <v>5</v>
      </c>
      <c r="AG1216" s="11">
        <f t="shared" si="58"/>
        <v>42857</v>
      </c>
      <c r="AH1216" s="11">
        <f t="shared" si="57"/>
        <v>42859</v>
      </c>
    </row>
    <row r="1217" spans="30:34">
      <c r="AD1217" s="10" t="s">
        <v>57</v>
      </c>
      <c r="AE1217" s="11">
        <v>42853</v>
      </c>
      <c r="AF1217" s="12">
        <f t="shared" si="56"/>
        <v>6</v>
      </c>
      <c r="AG1217" s="11">
        <f t="shared" si="58"/>
        <v>42858</v>
      </c>
      <c r="AH1217" s="11">
        <f t="shared" si="57"/>
        <v>42860</v>
      </c>
    </row>
    <row r="1218" spans="30:34">
      <c r="AD1218" s="10" t="s">
        <v>58</v>
      </c>
      <c r="AE1218" s="11">
        <v>42854</v>
      </c>
      <c r="AF1218" s="12">
        <f t="shared" si="56"/>
        <v>7</v>
      </c>
      <c r="AG1218" s="11">
        <f t="shared" si="58"/>
        <v>42859</v>
      </c>
      <c r="AH1218" s="11">
        <f t="shared" si="57"/>
        <v>42863</v>
      </c>
    </row>
    <row r="1219" spans="30:34">
      <c r="AD1219" s="10" t="s">
        <v>52</v>
      </c>
      <c r="AE1219" s="11">
        <v>42855</v>
      </c>
      <c r="AF1219" s="12">
        <f t="shared" si="56"/>
        <v>1</v>
      </c>
      <c r="AG1219" s="11">
        <f t="shared" si="58"/>
        <v>42859</v>
      </c>
      <c r="AH1219" s="11">
        <f t="shared" si="57"/>
        <v>42863</v>
      </c>
    </row>
    <row r="1220" spans="30:34">
      <c r="AD1220" s="10" t="s">
        <v>53</v>
      </c>
      <c r="AE1220" s="11">
        <v>42856</v>
      </c>
      <c r="AF1220" s="12">
        <f t="shared" si="56"/>
        <v>2</v>
      </c>
      <c r="AG1220" s="11">
        <f t="shared" si="58"/>
        <v>42860</v>
      </c>
      <c r="AH1220" s="11">
        <f t="shared" si="57"/>
        <v>42864</v>
      </c>
    </row>
    <row r="1221" spans="30:34">
      <c r="AD1221" s="10" t="s">
        <v>54</v>
      </c>
      <c r="AE1221" s="11">
        <v>42857</v>
      </c>
      <c r="AF1221" s="12">
        <f t="shared" ref="AF1221:AF1284" si="59">WEEKDAY(AE1221)</f>
        <v>3</v>
      </c>
      <c r="AG1221" s="11">
        <f t="shared" si="58"/>
        <v>42863</v>
      </c>
      <c r="AH1221" s="11">
        <f t="shared" ref="AH1221:AH1284" si="60">IFERROR((WORKDAY(AG1221, 2, AC$4:AC$53)), "")</f>
        <v>42865</v>
      </c>
    </row>
    <row r="1222" spans="30:34">
      <c r="AD1222" s="10" t="s">
        <v>55</v>
      </c>
      <c r="AE1222" s="11">
        <v>42858</v>
      </c>
      <c r="AF1222" s="12">
        <f t="shared" si="59"/>
        <v>4</v>
      </c>
      <c r="AG1222" s="11">
        <f t="shared" si="58"/>
        <v>42863</v>
      </c>
      <c r="AH1222" s="11">
        <f t="shared" si="60"/>
        <v>42865</v>
      </c>
    </row>
    <row r="1223" spans="30:34">
      <c r="AD1223" s="10" t="s">
        <v>56</v>
      </c>
      <c r="AE1223" s="11">
        <v>42859</v>
      </c>
      <c r="AF1223" s="12">
        <f t="shared" si="59"/>
        <v>5</v>
      </c>
      <c r="AG1223" s="11">
        <f t="shared" si="58"/>
        <v>42864</v>
      </c>
      <c r="AH1223" s="11">
        <f t="shared" si="60"/>
        <v>42866</v>
      </c>
    </row>
    <row r="1224" spans="30:34">
      <c r="AD1224" s="10" t="s">
        <v>57</v>
      </c>
      <c r="AE1224" s="11">
        <v>42860</v>
      </c>
      <c r="AF1224" s="12">
        <f t="shared" si="59"/>
        <v>6</v>
      </c>
      <c r="AG1224" s="11">
        <f t="shared" si="58"/>
        <v>42865</v>
      </c>
      <c r="AH1224" s="11">
        <f t="shared" si="60"/>
        <v>42867</v>
      </c>
    </row>
    <row r="1225" spans="30:34">
      <c r="AD1225" s="10" t="s">
        <v>58</v>
      </c>
      <c r="AE1225" s="11">
        <v>42861</v>
      </c>
      <c r="AF1225" s="12">
        <f t="shared" si="59"/>
        <v>7</v>
      </c>
      <c r="AG1225" s="11">
        <f t="shared" si="58"/>
        <v>42866</v>
      </c>
      <c r="AH1225" s="11">
        <f t="shared" si="60"/>
        <v>42870</v>
      </c>
    </row>
    <row r="1226" spans="30:34">
      <c r="AD1226" s="10" t="s">
        <v>52</v>
      </c>
      <c r="AE1226" s="11">
        <v>42862</v>
      </c>
      <c r="AF1226" s="12">
        <f t="shared" si="59"/>
        <v>1</v>
      </c>
      <c r="AG1226" s="11">
        <f t="shared" si="58"/>
        <v>42866</v>
      </c>
      <c r="AH1226" s="11">
        <f t="shared" si="60"/>
        <v>42870</v>
      </c>
    </row>
    <row r="1227" spans="30:34">
      <c r="AD1227" s="10" t="s">
        <v>53</v>
      </c>
      <c r="AE1227" s="11">
        <v>42863</v>
      </c>
      <c r="AF1227" s="12">
        <f t="shared" si="59"/>
        <v>2</v>
      </c>
      <c r="AG1227" s="11">
        <f t="shared" si="58"/>
        <v>42867</v>
      </c>
      <c r="AH1227" s="11">
        <f t="shared" si="60"/>
        <v>42871</v>
      </c>
    </row>
    <row r="1228" spans="30:34">
      <c r="AD1228" s="10" t="s">
        <v>54</v>
      </c>
      <c r="AE1228" s="11">
        <v>42864</v>
      </c>
      <c r="AF1228" s="12">
        <f t="shared" si="59"/>
        <v>3</v>
      </c>
      <c r="AG1228" s="11">
        <f t="shared" si="58"/>
        <v>42870</v>
      </c>
      <c r="AH1228" s="11">
        <f t="shared" si="60"/>
        <v>42872</v>
      </c>
    </row>
    <row r="1229" spans="30:34">
      <c r="AD1229" s="10" t="s">
        <v>55</v>
      </c>
      <c r="AE1229" s="11">
        <v>42865</v>
      </c>
      <c r="AF1229" s="12">
        <f t="shared" si="59"/>
        <v>4</v>
      </c>
      <c r="AG1229" s="11">
        <f t="shared" si="58"/>
        <v>42870</v>
      </c>
      <c r="AH1229" s="11">
        <f t="shared" si="60"/>
        <v>42872</v>
      </c>
    </row>
    <row r="1230" spans="30:34">
      <c r="AD1230" s="10" t="s">
        <v>56</v>
      </c>
      <c r="AE1230" s="11">
        <v>42866</v>
      </c>
      <c r="AF1230" s="12">
        <f t="shared" si="59"/>
        <v>5</v>
      </c>
      <c r="AG1230" s="11">
        <f t="shared" si="58"/>
        <v>42871</v>
      </c>
      <c r="AH1230" s="11">
        <f t="shared" si="60"/>
        <v>42873</v>
      </c>
    </row>
    <row r="1231" spans="30:34">
      <c r="AD1231" s="10" t="s">
        <v>57</v>
      </c>
      <c r="AE1231" s="11">
        <v>42867</v>
      </c>
      <c r="AF1231" s="12">
        <f t="shared" si="59"/>
        <v>6</v>
      </c>
      <c r="AG1231" s="11">
        <f t="shared" si="58"/>
        <v>42872</v>
      </c>
      <c r="AH1231" s="11">
        <f t="shared" si="60"/>
        <v>42874</v>
      </c>
    </row>
    <row r="1232" spans="30:34">
      <c r="AD1232" s="10" t="s">
        <v>58</v>
      </c>
      <c r="AE1232" s="11">
        <v>42868</v>
      </c>
      <c r="AF1232" s="12">
        <f t="shared" si="59"/>
        <v>7</v>
      </c>
      <c r="AG1232" s="11">
        <f t="shared" si="58"/>
        <v>42873</v>
      </c>
      <c r="AH1232" s="11">
        <f t="shared" si="60"/>
        <v>42877</v>
      </c>
    </row>
    <row r="1233" spans="30:34">
      <c r="AD1233" s="10" t="s">
        <v>52</v>
      </c>
      <c r="AE1233" s="11">
        <v>42869</v>
      </c>
      <c r="AF1233" s="12">
        <f t="shared" si="59"/>
        <v>1</v>
      </c>
      <c r="AG1233" s="11">
        <f t="shared" si="58"/>
        <v>42873</v>
      </c>
      <c r="AH1233" s="11">
        <f t="shared" si="60"/>
        <v>42877</v>
      </c>
    </row>
    <row r="1234" spans="30:34">
      <c r="AD1234" s="10" t="s">
        <v>53</v>
      </c>
      <c r="AE1234" s="11">
        <v>42870</v>
      </c>
      <c r="AF1234" s="12">
        <f t="shared" si="59"/>
        <v>2</v>
      </c>
      <c r="AG1234" s="11">
        <f t="shared" si="58"/>
        <v>42874</v>
      </c>
      <c r="AH1234" s="11">
        <f t="shared" si="60"/>
        <v>42878</v>
      </c>
    </row>
    <row r="1235" spans="30:34">
      <c r="AD1235" s="10" t="s">
        <v>54</v>
      </c>
      <c r="AE1235" s="11">
        <v>42871</v>
      </c>
      <c r="AF1235" s="12">
        <f t="shared" si="59"/>
        <v>3</v>
      </c>
      <c r="AG1235" s="11">
        <f t="shared" si="58"/>
        <v>42877</v>
      </c>
      <c r="AH1235" s="11">
        <f t="shared" si="60"/>
        <v>42879</v>
      </c>
    </row>
    <row r="1236" spans="30:34">
      <c r="AD1236" s="10" t="s">
        <v>55</v>
      </c>
      <c r="AE1236" s="11">
        <v>42872</v>
      </c>
      <c r="AF1236" s="12">
        <f t="shared" si="59"/>
        <v>4</v>
      </c>
      <c r="AG1236" s="11">
        <f t="shared" si="58"/>
        <v>42877</v>
      </c>
      <c r="AH1236" s="11">
        <f t="shared" si="60"/>
        <v>42879</v>
      </c>
    </row>
    <row r="1237" spans="30:34">
      <c r="AD1237" s="10" t="s">
        <v>56</v>
      </c>
      <c r="AE1237" s="11">
        <v>42873</v>
      </c>
      <c r="AF1237" s="12">
        <f t="shared" si="59"/>
        <v>5</v>
      </c>
      <c r="AG1237" s="11">
        <f t="shared" si="58"/>
        <v>42878</v>
      </c>
      <c r="AH1237" s="11">
        <f t="shared" si="60"/>
        <v>42880</v>
      </c>
    </row>
    <row r="1238" spans="30:34">
      <c r="AD1238" s="10" t="s">
        <v>57</v>
      </c>
      <c r="AE1238" s="11">
        <v>42874</v>
      </c>
      <c r="AF1238" s="12">
        <f t="shared" si="59"/>
        <v>6</v>
      </c>
      <c r="AG1238" s="11">
        <f t="shared" si="58"/>
        <v>42879</v>
      </c>
      <c r="AH1238" s="11">
        <f t="shared" si="60"/>
        <v>42881</v>
      </c>
    </row>
    <row r="1239" spans="30:34">
      <c r="AD1239" s="10" t="s">
        <v>58</v>
      </c>
      <c r="AE1239" s="11">
        <v>42875</v>
      </c>
      <c r="AF1239" s="12">
        <f t="shared" si="59"/>
        <v>7</v>
      </c>
      <c r="AG1239" s="11">
        <f t="shared" si="58"/>
        <v>42880</v>
      </c>
      <c r="AH1239" s="11">
        <f t="shared" si="60"/>
        <v>42885</v>
      </c>
    </row>
    <row r="1240" spans="30:34">
      <c r="AD1240" s="10" t="s">
        <v>52</v>
      </c>
      <c r="AE1240" s="11">
        <v>42876</v>
      </c>
      <c r="AF1240" s="12">
        <f t="shared" si="59"/>
        <v>1</v>
      </c>
      <c r="AG1240" s="11">
        <f t="shared" si="58"/>
        <v>42880</v>
      </c>
      <c r="AH1240" s="11">
        <f t="shared" si="60"/>
        <v>42885</v>
      </c>
    </row>
    <row r="1241" spans="30:34">
      <c r="AD1241" s="10" t="s">
        <v>53</v>
      </c>
      <c r="AE1241" s="11">
        <v>42877</v>
      </c>
      <c r="AF1241" s="12">
        <f t="shared" si="59"/>
        <v>2</v>
      </c>
      <c r="AG1241" s="11">
        <f t="shared" si="58"/>
        <v>42881</v>
      </c>
      <c r="AH1241" s="11">
        <f t="shared" si="60"/>
        <v>42886</v>
      </c>
    </row>
    <row r="1242" spans="30:34">
      <c r="AD1242" s="10" t="s">
        <v>54</v>
      </c>
      <c r="AE1242" s="11">
        <v>42878</v>
      </c>
      <c r="AF1242" s="12">
        <f t="shared" si="59"/>
        <v>3</v>
      </c>
      <c r="AG1242" s="11">
        <v>42885</v>
      </c>
      <c r="AH1242" s="11">
        <f t="shared" si="60"/>
        <v>42887</v>
      </c>
    </row>
    <row r="1243" spans="30:34">
      <c r="AD1243" s="10" t="s">
        <v>55</v>
      </c>
      <c r="AE1243" s="11">
        <v>42879</v>
      </c>
      <c r="AF1243" s="12">
        <f t="shared" si="59"/>
        <v>4</v>
      </c>
      <c r="AG1243" s="11">
        <v>42885</v>
      </c>
      <c r="AH1243" s="11">
        <f t="shared" si="60"/>
        <v>42887</v>
      </c>
    </row>
    <row r="1244" spans="30:34">
      <c r="AD1244" s="10" t="s">
        <v>56</v>
      </c>
      <c r="AE1244" s="11">
        <v>42880</v>
      </c>
      <c r="AF1244" s="12">
        <f t="shared" si="59"/>
        <v>5</v>
      </c>
      <c r="AG1244" s="11">
        <v>42886</v>
      </c>
      <c r="AH1244" s="11">
        <f t="shared" si="60"/>
        <v>42888</v>
      </c>
    </row>
    <row r="1245" spans="30:34">
      <c r="AD1245" s="10" t="s">
        <v>57</v>
      </c>
      <c r="AE1245" s="11">
        <v>42881</v>
      </c>
      <c r="AF1245" s="12">
        <f t="shared" si="59"/>
        <v>6</v>
      </c>
      <c r="AG1245" s="11">
        <v>42887</v>
      </c>
      <c r="AH1245" s="11">
        <f t="shared" si="60"/>
        <v>42891</v>
      </c>
    </row>
    <row r="1246" spans="30:34">
      <c r="AD1246" s="10" t="s">
        <v>58</v>
      </c>
      <c r="AE1246" s="11">
        <v>42882</v>
      </c>
      <c r="AF1246" s="12">
        <f t="shared" si="59"/>
        <v>7</v>
      </c>
      <c r="AG1246" s="11">
        <v>42888</v>
      </c>
      <c r="AH1246" s="11">
        <f t="shared" si="60"/>
        <v>42892</v>
      </c>
    </row>
    <row r="1247" spans="30:34">
      <c r="AD1247" s="10" t="s">
        <v>52</v>
      </c>
      <c r="AE1247" s="11">
        <v>42883</v>
      </c>
      <c r="AF1247" s="12">
        <f t="shared" si="59"/>
        <v>1</v>
      </c>
      <c r="AG1247" s="11">
        <v>42888</v>
      </c>
      <c r="AH1247" s="11">
        <f t="shared" si="60"/>
        <v>42892</v>
      </c>
    </row>
    <row r="1248" spans="30:34">
      <c r="AD1248" s="10" t="s">
        <v>53</v>
      </c>
      <c r="AE1248" s="11">
        <v>42884</v>
      </c>
      <c r="AF1248" s="12">
        <f t="shared" si="59"/>
        <v>2</v>
      </c>
      <c r="AG1248" s="11">
        <f t="shared" ref="AG1248:AG1309" si="61">AE1248+(VLOOKUP(AF1248, $AJ$4:$AK$10, 2, FALSE))</f>
        <v>42888</v>
      </c>
      <c r="AH1248" s="11">
        <f t="shared" si="60"/>
        <v>42892</v>
      </c>
    </row>
    <row r="1249" spans="30:34">
      <c r="AD1249" s="10" t="s">
        <v>54</v>
      </c>
      <c r="AE1249" s="11">
        <v>42885</v>
      </c>
      <c r="AF1249" s="12">
        <f t="shared" si="59"/>
        <v>3</v>
      </c>
      <c r="AG1249" s="11">
        <f t="shared" si="61"/>
        <v>42891</v>
      </c>
      <c r="AH1249" s="11">
        <f t="shared" si="60"/>
        <v>42893</v>
      </c>
    </row>
    <row r="1250" spans="30:34">
      <c r="AD1250" s="10" t="s">
        <v>55</v>
      </c>
      <c r="AE1250" s="11">
        <v>42886</v>
      </c>
      <c r="AF1250" s="12">
        <f t="shared" si="59"/>
        <v>4</v>
      </c>
      <c r="AG1250" s="11">
        <f t="shared" si="61"/>
        <v>42891</v>
      </c>
      <c r="AH1250" s="11">
        <f t="shared" si="60"/>
        <v>42893</v>
      </c>
    </row>
    <row r="1251" spans="30:34">
      <c r="AD1251" s="10" t="s">
        <v>56</v>
      </c>
      <c r="AE1251" s="11">
        <v>42887</v>
      </c>
      <c r="AF1251" s="12">
        <f t="shared" si="59"/>
        <v>5</v>
      </c>
      <c r="AG1251" s="11">
        <f t="shared" si="61"/>
        <v>42892</v>
      </c>
      <c r="AH1251" s="11">
        <f t="shared" si="60"/>
        <v>42894</v>
      </c>
    </row>
    <row r="1252" spans="30:34">
      <c r="AD1252" s="10" t="s">
        <v>57</v>
      </c>
      <c r="AE1252" s="11">
        <v>42888</v>
      </c>
      <c r="AF1252" s="12">
        <f t="shared" si="59"/>
        <v>6</v>
      </c>
      <c r="AG1252" s="11">
        <f t="shared" si="61"/>
        <v>42893</v>
      </c>
      <c r="AH1252" s="11">
        <f t="shared" si="60"/>
        <v>42895</v>
      </c>
    </row>
    <row r="1253" spans="30:34">
      <c r="AD1253" s="10" t="s">
        <v>58</v>
      </c>
      <c r="AE1253" s="11">
        <v>42889</v>
      </c>
      <c r="AF1253" s="12">
        <f t="shared" si="59"/>
        <v>7</v>
      </c>
      <c r="AG1253" s="11">
        <f t="shared" si="61"/>
        <v>42894</v>
      </c>
      <c r="AH1253" s="11">
        <f t="shared" si="60"/>
        <v>42898</v>
      </c>
    </row>
    <row r="1254" spans="30:34">
      <c r="AD1254" s="10" t="s">
        <v>52</v>
      </c>
      <c r="AE1254" s="11">
        <v>42890</v>
      </c>
      <c r="AF1254" s="12">
        <f t="shared" si="59"/>
        <v>1</v>
      </c>
      <c r="AG1254" s="11">
        <f t="shared" si="61"/>
        <v>42894</v>
      </c>
      <c r="AH1254" s="11">
        <f t="shared" si="60"/>
        <v>42898</v>
      </c>
    </row>
    <row r="1255" spans="30:34">
      <c r="AD1255" s="10" t="s">
        <v>53</v>
      </c>
      <c r="AE1255" s="11">
        <v>42891</v>
      </c>
      <c r="AF1255" s="12">
        <f t="shared" si="59"/>
        <v>2</v>
      </c>
      <c r="AG1255" s="11">
        <f t="shared" si="61"/>
        <v>42895</v>
      </c>
      <c r="AH1255" s="11">
        <f t="shared" si="60"/>
        <v>42899</v>
      </c>
    </row>
    <row r="1256" spans="30:34">
      <c r="AD1256" s="10" t="s">
        <v>54</v>
      </c>
      <c r="AE1256" s="11">
        <v>42892</v>
      </c>
      <c r="AF1256" s="12">
        <f t="shared" si="59"/>
        <v>3</v>
      </c>
      <c r="AG1256" s="11">
        <f t="shared" si="61"/>
        <v>42898</v>
      </c>
      <c r="AH1256" s="11">
        <f t="shared" si="60"/>
        <v>42900</v>
      </c>
    </row>
    <row r="1257" spans="30:34">
      <c r="AD1257" s="10" t="s">
        <v>55</v>
      </c>
      <c r="AE1257" s="11">
        <v>42893</v>
      </c>
      <c r="AF1257" s="12">
        <f t="shared" si="59"/>
        <v>4</v>
      </c>
      <c r="AG1257" s="11">
        <f t="shared" si="61"/>
        <v>42898</v>
      </c>
      <c r="AH1257" s="11">
        <f t="shared" si="60"/>
        <v>42900</v>
      </c>
    </row>
    <row r="1258" spans="30:34">
      <c r="AD1258" s="10" t="s">
        <v>56</v>
      </c>
      <c r="AE1258" s="11">
        <v>42894</v>
      </c>
      <c r="AF1258" s="12">
        <f t="shared" si="59"/>
        <v>5</v>
      </c>
      <c r="AG1258" s="11">
        <f t="shared" si="61"/>
        <v>42899</v>
      </c>
      <c r="AH1258" s="11">
        <f t="shared" si="60"/>
        <v>42901</v>
      </c>
    </row>
    <row r="1259" spans="30:34">
      <c r="AD1259" s="10" t="s">
        <v>57</v>
      </c>
      <c r="AE1259" s="11">
        <v>42895</v>
      </c>
      <c r="AF1259" s="12">
        <f t="shared" si="59"/>
        <v>6</v>
      </c>
      <c r="AG1259" s="11">
        <f t="shared" si="61"/>
        <v>42900</v>
      </c>
      <c r="AH1259" s="11">
        <f t="shared" si="60"/>
        <v>42902</v>
      </c>
    </row>
    <row r="1260" spans="30:34">
      <c r="AD1260" s="10" t="s">
        <v>58</v>
      </c>
      <c r="AE1260" s="11">
        <v>42896</v>
      </c>
      <c r="AF1260" s="12">
        <f t="shared" si="59"/>
        <v>7</v>
      </c>
      <c r="AG1260" s="11">
        <f t="shared" si="61"/>
        <v>42901</v>
      </c>
      <c r="AH1260" s="11">
        <f t="shared" si="60"/>
        <v>42905</v>
      </c>
    </row>
    <row r="1261" spans="30:34">
      <c r="AD1261" s="10" t="s">
        <v>52</v>
      </c>
      <c r="AE1261" s="11">
        <v>42897</v>
      </c>
      <c r="AF1261" s="12">
        <f t="shared" si="59"/>
        <v>1</v>
      </c>
      <c r="AG1261" s="11">
        <f t="shared" si="61"/>
        <v>42901</v>
      </c>
      <c r="AH1261" s="11">
        <f t="shared" si="60"/>
        <v>42905</v>
      </c>
    </row>
    <row r="1262" spans="30:34">
      <c r="AD1262" s="10" t="s">
        <v>53</v>
      </c>
      <c r="AE1262" s="11">
        <v>42898</v>
      </c>
      <c r="AF1262" s="12">
        <f t="shared" si="59"/>
        <v>2</v>
      </c>
      <c r="AG1262" s="11">
        <f t="shared" si="61"/>
        <v>42902</v>
      </c>
      <c r="AH1262" s="11">
        <f t="shared" si="60"/>
        <v>42906</v>
      </c>
    </row>
    <row r="1263" spans="30:34">
      <c r="AD1263" s="10" t="s">
        <v>54</v>
      </c>
      <c r="AE1263" s="11">
        <v>42899</v>
      </c>
      <c r="AF1263" s="12">
        <f t="shared" si="59"/>
        <v>3</v>
      </c>
      <c r="AG1263" s="11">
        <f t="shared" si="61"/>
        <v>42905</v>
      </c>
      <c r="AH1263" s="11">
        <f t="shared" si="60"/>
        <v>42907</v>
      </c>
    </row>
    <row r="1264" spans="30:34">
      <c r="AD1264" s="10" t="s">
        <v>55</v>
      </c>
      <c r="AE1264" s="11">
        <v>42900</v>
      </c>
      <c r="AF1264" s="12">
        <f t="shared" si="59"/>
        <v>4</v>
      </c>
      <c r="AG1264" s="11">
        <f t="shared" si="61"/>
        <v>42905</v>
      </c>
      <c r="AH1264" s="11">
        <f t="shared" si="60"/>
        <v>42907</v>
      </c>
    </row>
    <row r="1265" spans="30:34">
      <c r="AD1265" s="10" t="s">
        <v>56</v>
      </c>
      <c r="AE1265" s="11">
        <v>42901</v>
      </c>
      <c r="AF1265" s="12">
        <f t="shared" si="59"/>
        <v>5</v>
      </c>
      <c r="AG1265" s="11">
        <f t="shared" si="61"/>
        <v>42906</v>
      </c>
      <c r="AH1265" s="11">
        <f t="shared" si="60"/>
        <v>42908</v>
      </c>
    </row>
    <row r="1266" spans="30:34">
      <c r="AD1266" s="10" t="s">
        <v>57</v>
      </c>
      <c r="AE1266" s="11">
        <v>42902</v>
      </c>
      <c r="AF1266" s="12">
        <f t="shared" si="59"/>
        <v>6</v>
      </c>
      <c r="AG1266" s="11">
        <f t="shared" si="61"/>
        <v>42907</v>
      </c>
      <c r="AH1266" s="11">
        <f t="shared" si="60"/>
        <v>42909</v>
      </c>
    </row>
    <row r="1267" spans="30:34">
      <c r="AD1267" s="10" t="s">
        <v>58</v>
      </c>
      <c r="AE1267" s="11">
        <v>42903</v>
      </c>
      <c r="AF1267" s="12">
        <f t="shared" si="59"/>
        <v>7</v>
      </c>
      <c r="AG1267" s="11">
        <f t="shared" si="61"/>
        <v>42908</v>
      </c>
      <c r="AH1267" s="11">
        <f t="shared" si="60"/>
        <v>42912</v>
      </c>
    </row>
    <row r="1268" spans="30:34">
      <c r="AD1268" s="10" t="s">
        <v>52</v>
      </c>
      <c r="AE1268" s="11">
        <v>42904</v>
      </c>
      <c r="AF1268" s="12">
        <f t="shared" si="59"/>
        <v>1</v>
      </c>
      <c r="AG1268" s="11">
        <f t="shared" si="61"/>
        <v>42908</v>
      </c>
      <c r="AH1268" s="11">
        <f t="shared" si="60"/>
        <v>42912</v>
      </c>
    </row>
    <row r="1269" spans="30:34">
      <c r="AD1269" s="10" t="s">
        <v>53</v>
      </c>
      <c r="AE1269" s="11">
        <v>42905</v>
      </c>
      <c r="AF1269" s="12">
        <f t="shared" si="59"/>
        <v>2</v>
      </c>
      <c r="AG1269" s="11">
        <f t="shared" si="61"/>
        <v>42909</v>
      </c>
      <c r="AH1269" s="11">
        <f t="shared" si="60"/>
        <v>42913</v>
      </c>
    </row>
    <row r="1270" spans="30:34">
      <c r="AD1270" s="10" t="s">
        <v>54</v>
      </c>
      <c r="AE1270" s="11">
        <v>42906</v>
      </c>
      <c r="AF1270" s="12">
        <f t="shared" si="59"/>
        <v>3</v>
      </c>
      <c r="AG1270" s="11">
        <f t="shared" si="61"/>
        <v>42912</v>
      </c>
      <c r="AH1270" s="11">
        <f t="shared" si="60"/>
        <v>42914</v>
      </c>
    </row>
    <row r="1271" spans="30:34">
      <c r="AD1271" s="10" t="s">
        <v>55</v>
      </c>
      <c r="AE1271" s="11">
        <v>42907</v>
      </c>
      <c r="AF1271" s="12">
        <f t="shared" si="59"/>
        <v>4</v>
      </c>
      <c r="AG1271" s="11">
        <f t="shared" si="61"/>
        <v>42912</v>
      </c>
      <c r="AH1271" s="11">
        <f t="shared" si="60"/>
        <v>42914</v>
      </c>
    </row>
    <row r="1272" spans="30:34">
      <c r="AD1272" s="10" t="s">
        <v>56</v>
      </c>
      <c r="AE1272" s="11">
        <v>42908</v>
      </c>
      <c r="AF1272" s="12">
        <f t="shared" si="59"/>
        <v>5</v>
      </c>
      <c r="AG1272" s="11">
        <f t="shared" si="61"/>
        <v>42913</v>
      </c>
      <c r="AH1272" s="11">
        <f t="shared" si="60"/>
        <v>42915</v>
      </c>
    </row>
    <row r="1273" spans="30:34">
      <c r="AD1273" s="10" t="s">
        <v>57</v>
      </c>
      <c r="AE1273" s="11">
        <v>42909</v>
      </c>
      <c r="AF1273" s="12">
        <f t="shared" si="59"/>
        <v>6</v>
      </c>
      <c r="AG1273" s="11">
        <f t="shared" si="61"/>
        <v>42914</v>
      </c>
      <c r="AH1273" s="11">
        <f t="shared" si="60"/>
        <v>42916</v>
      </c>
    </row>
    <row r="1274" spans="30:34">
      <c r="AD1274" s="10" t="s">
        <v>58</v>
      </c>
      <c r="AE1274" s="11">
        <v>42910</v>
      </c>
      <c r="AF1274" s="12">
        <f t="shared" si="59"/>
        <v>7</v>
      </c>
      <c r="AG1274" s="11">
        <f t="shared" si="61"/>
        <v>42915</v>
      </c>
      <c r="AH1274" s="11">
        <f t="shared" si="60"/>
        <v>42919</v>
      </c>
    </row>
    <row r="1275" spans="30:34">
      <c r="AD1275" s="10" t="s">
        <v>52</v>
      </c>
      <c r="AE1275" s="11">
        <v>42911</v>
      </c>
      <c r="AF1275" s="12">
        <f t="shared" si="59"/>
        <v>1</v>
      </c>
      <c r="AG1275" s="11">
        <f t="shared" si="61"/>
        <v>42915</v>
      </c>
      <c r="AH1275" s="11">
        <f t="shared" si="60"/>
        <v>42919</v>
      </c>
    </row>
    <row r="1276" spans="30:34">
      <c r="AD1276" s="10" t="s">
        <v>53</v>
      </c>
      <c r="AE1276" s="11">
        <v>42912</v>
      </c>
      <c r="AF1276" s="12">
        <f t="shared" si="59"/>
        <v>2</v>
      </c>
      <c r="AG1276" s="11">
        <f t="shared" si="61"/>
        <v>42916</v>
      </c>
      <c r="AH1276" s="11">
        <f t="shared" si="60"/>
        <v>42921</v>
      </c>
    </row>
    <row r="1277" spans="30:34">
      <c r="AD1277" s="10" t="s">
        <v>54</v>
      </c>
      <c r="AE1277" s="11">
        <v>42913</v>
      </c>
      <c r="AF1277" s="12">
        <f t="shared" si="59"/>
        <v>3</v>
      </c>
      <c r="AG1277" s="11">
        <f t="shared" si="61"/>
        <v>42919</v>
      </c>
      <c r="AH1277" s="11">
        <f t="shared" si="60"/>
        <v>42922</v>
      </c>
    </row>
    <row r="1278" spans="30:34">
      <c r="AD1278" s="10" t="s">
        <v>55</v>
      </c>
      <c r="AE1278" s="11">
        <v>42914</v>
      </c>
      <c r="AF1278" s="12">
        <f t="shared" si="59"/>
        <v>4</v>
      </c>
      <c r="AG1278" s="11">
        <f t="shared" si="61"/>
        <v>42919</v>
      </c>
      <c r="AH1278" s="11">
        <f t="shared" si="60"/>
        <v>42922</v>
      </c>
    </row>
    <row r="1279" spans="30:34">
      <c r="AD1279" s="10" t="s">
        <v>56</v>
      </c>
      <c r="AE1279" s="11">
        <v>42915</v>
      </c>
      <c r="AF1279" s="12">
        <f t="shared" si="59"/>
        <v>5</v>
      </c>
      <c r="AG1279" s="11">
        <v>42921</v>
      </c>
      <c r="AH1279" s="11">
        <f t="shared" si="60"/>
        <v>42923</v>
      </c>
    </row>
    <row r="1280" spans="30:34">
      <c r="AD1280" s="10" t="s">
        <v>57</v>
      </c>
      <c r="AE1280" s="11">
        <v>42916</v>
      </c>
      <c r="AF1280" s="12">
        <f t="shared" si="59"/>
        <v>6</v>
      </c>
      <c r="AG1280" s="11">
        <v>42922</v>
      </c>
      <c r="AH1280" s="11">
        <f t="shared" si="60"/>
        <v>42926</v>
      </c>
    </row>
    <row r="1281" spans="30:34">
      <c r="AD1281" s="10" t="s">
        <v>58</v>
      </c>
      <c r="AE1281" s="11">
        <v>42917</v>
      </c>
      <c r="AF1281" s="12">
        <f t="shared" si="59"/>
        <v>7</v>
      </c>
      <c r="AG1281" s="11">
        <v>42923</v>
      </c>
      <c r="AH1281" s="11">
        <f t="shared" si="60"/>
        <v>42927</v>
      </c>
    </row>
    <row r="1282" spans="30:34">
      <c r="AD1282" s="10" t="s">
        <v>52</v>
      </c>
      <c r="AE1282" s="11">
        <v>42918</v>
      </c>
      <c r="AF1282" s="12">
        <f t="shared" si="59"/>
        <v>1</v>
      </c>
      <c r="AG1282" s="11">
        <v>42923</v>
      </c>
      <c r="AH1282" s="11">
        <f t="shared" si="60"/>
        <v>42927</v>
      </c>
    </row>
    <row r="1283" spans="30:34">
      <c r="AD1283" s="10" t="s">
        <v>53</v>
      </c>
      <c r="AE1283" s="11">
        <v>42919</v>
      </c>
      <c r="AF1283" s="12">
        <f t="shared" si="59"/>
        <v>2</v>
      </c>
      <c r="AG1283" s="11">
        <v>42926</v>
      </c>
      <c r="AH1283" s="11">
        <f t="shared" si="60"/>
        <v>42928</v>
      </c>
    </row>
    <row r="1284" spans="30:34">
      <c r="AD1284" s="10" t="s">
        <v>54</v>
      </c>
      <c r="AE1284" s="11">
        <v>42920</v>
      </c>
      <c r="AF1284" s="12">
        <f t="shared" si="59"/>
        <v>3</v>
      </c>
      <c r="AG1284" s="11">
        <f t="shared" si="61"/>
        <v>42926</v>
      </c>
      <c r="AH1284" s="11">
        <f t="shared" si="60"/>
        <v>42928</v>
      </c>
    </row>
    <row r="1285" spans="30:34">
      <c r="AD1285" s="10" t="s">
        <v>55</v>
      </c>
      <c r="AE1285" s="11">
        <v>42921</v>
      </c>
      <c r="AF1285" s="12">
        <f t="shared" ref="AF1285:AF1348" si="62">WEEKDAY(AE1285)</f>
        <v>4</v>
      </c>
      <c r="AG1285" s="11">
        <f t="shared" si="61"/>
        <v>42926</v>
      </c>
      <c r="AH1285" s="11">
        <f t="shared" ref="AH1285:AH1348" si="63">IFERROR((WORKDAY(AG1285, 2, AC$4:AC$53)), "")</f>
        <v>42928</v>
      </c>
    </row>
    <row r="1286" spans="30:34">
      <c r="AD1286" s="10" t="s">
        <v>56</v>
      </c>
      <c r="AE1286" s="11">
        <v>42922</v>
      </c>
      <c r="AF1286" s="12">
        <f t="shared" si="62"/>
        <v>5</v>
      </c>
      <c r="AG1286" s="11">
        <f t="shared" si="61"/>
        <v>42927</v>
      </c>
      <c r="AH1286" s="11">
        <f t="shared" si="63"/>
        <v>42929</v>
      </c>
    </row>
    <row r="1287" spans="30:34">
      <c r="AD1287" s="10" t="s">
        <v>57</v>
      </c>
      <c r="AE1287" s="11">
        <v>42923</v>
      </c>
      <c r="AF1287" s="12">
        <f t="shared" si="62"/>
        <v>6</v>
      </c>
      <c r="AG1287" s="11">
        <f t="shared" si="61"/>
        <v>42928</v>
      </c>
      <c r="AH1287" s="11">
        <f t="shared" si="63"/>
        <v>42930</v>
      </c>
    </row>
    <row r="1288" spans="30:34">
      <c r="AD1288" s="10" t="s">
        <v>58</v>
      </c>
      <c r="AE1288" s="11">
        <v>42924</v>
      </c>
      <c r="AF1288" s="12">
        <f t="shared" si="62"/>
        <v>7</v>
      </c>
      <c r="AG1288" s="11">
        <f t="shared" si="61"/>
        <v>42929</v>
      </c>
      <c r="AH1288" s="11">
        <f t="shared" si="63"/>
        <v>42933</v>
      </c>
    </row>
    <row r="1289" spans="30:34">
      <c r="AD1289" s="10" t="s">
        <v>52</v>
      </c>
      <c r="AE1289" s="11">
        <v>42925</v>
      </c>
      <c r="AF1289" s="12">
        <f t="shared" si="62"/>
        <v>1</v>
      </c>
      <c r="AG1289" s="11">
        <f t="shared" si="61"/>
        <v>42929</v>
      </c>
      <c r="AH1289" s="11">
        <f t="shared" si="63"/>
        <v>42933</v>
      </c>
    </row>
    <row r="1290" spans="30:34">
      <c r="AD1290" s="10" t="s">
        <v>53</v>
      </c>
      <c r="AE1290" s="11">
        <v>42926</v>
      </c>
      <c r="AF1290" s="12">
        <f t="shared" si="62"/>
        <v>2</v>
      </c>
      <c r="AG1290" s="11">
        <f t="shared" si="61"/>
        <v>42930</v>
      </c>
      <c r="AH1290" s="11">
        <f t="shared" si="63"/>
        <v>42934</v>
      </c>
    </row>
    <row r="1291" spans="30:34">
      <c r="AD1291" s="10" t="s">
        <v>54</v>
      </c>
      <c r="AE1291" s="11">
        <v>42927</v>
      </c>
      <c r="AF1291" s="12">
        <f t="shared" si="62"/>
        <v>3</v>
      </c>
      <c r="AG1291" s="11">
        <f t="shared" si="61"/>
        <v>42933</v>
      </c>
      <c r="AH1291" s="11">
        <f t="shared" si="63"/>
        <v>42935</v>
      </c>
    </row>
    <row r="1292" spans="30:34">
      <c r="AD1292" s="10" t="s">
        <v>55</v>
      </c>
      <c r="AE1292" s="11">
        <v>42928</v>
      </c>
      <c r="AF1292" s="12">
        <f t="shared" si="62"/>
        <v>4</v>
      </c>
      <c r="AG1292" s="11">
        <f t="shared" si="61"/>
        <v>42933</v>
      </c>
      <c r="AH1292" s="11">
        <f t="shared" si="63"/>
        <v>42935</v>
      </c>
    </row>
    <row r="1293" spans="30:34">
      <c r="AD1293" s="10" t="s">
        <v>56</v>
      </c>
      <c r="AE1293" s="11">
        <v>42929</v>
      </c>
      <c r="AF1293" s="12">
        <f t="shared" si="62"/>
        <v>5</v>
      </c>
      <c r="AG1293" s="11">
        <f t="shared" si="61"/>
        <v>42934</v>
      </c>
      <c r="AH1293" s="11">
        <f t="shared" si="63"/>
        <v>42936</v>
      </c>
    </row>
    <row r="1294" spans="30:34">
      <c r="AD1294" s="10" t="s">
        <v>57</v>
      </c>
      <c r="AE1294" s="11">
        <v>42930</v>
      </c>
      <c r="AF1294" s="12">
        <f t="shared" si="62"/>
        <v>6</v>
      </c>
      <c r="AG1294" s="11">
        <f t="shared" si="61"/>
        <v>42935</v>
      </c>
      <c r="AH1294" s="11">
        <f t="shared" si="63"/>
        <v>42937</v>
      </c>
    </row>
    <row r="1295" spans="30:34">
      <c r="AD1295" s="10" t="s">
        <v>58</v>
      </c>
      <c r="AE1295" s="11">
        <v>42931</v>
      </c>
      <c r="AF1295" s="12">
        <f t="shared" si="62"/>
        <v>7</v>
      </c>
      <c r="AG1295" s="11">
        <f t="shared" si="61"/>
        <v>42936</v>
      </c>
      <c r="AH1295" s="11">
        <f t="shared" si="63"/>
        <v>42940</v>
      </c>
    </row>
    <row r="1296" spans="30:34">
      <c r="AD1296" s="10" t="s">
        <v>52</v>
      </c>
      <c r="AE1296" s="11">
        <v>42932</v>
      </c>
      <c r="AF1296" s="12">
        <f t="shared" si="62"/>
        <v>1</v>
      </c>
      <c r="AG1296" s="11">
        <f t="shared" si="61"/>
        <v>42936</v>
      </c>
      <c r="AH1296" s="11">
        <f t="shared" si="63"/>
        <v>42940</v>
      </c>
    </row>
    <row r="1297" spans="30:34">
      <c r="AD1297" s="10" t="s">
        <v>53</v>
      </c>
      <c r="AE1297" s="11">
        <v>42933</v>
      </c>
      <c r="AF1297" s="12">
        <f t="shared" si="62"/>
        <v>2</v>
      </c>
      <c r="AG1297" s="11">
        <f t="shared" si="61"/>
        <v>42937</v>
      </c>
      <c r="AH1297" s="11">
        <f t="shared" si="63"/>
        <v>42941</v>
      </c>
    </row>
    <row r="1298" spans="30:34">
      <c r="AD1298" s="10" t="s">
        <v>54</v>
      </c>
      <c r="AE1298" s="11">
        <v>42934</v>
      </c>
      <c r="AF1298" s="12">
        <f t="shared" si="62"/>
        <v>3</v>
      </c>
      <c r="AG1298" s="11">
        <f t="shared" si="61"/>
        <v>42940</v>
      </c>
      <c r="AH1298" s="11">
        <f t="shared" si="63"/>
        <v>42942</v>
      </c>
    </row>
    <row r="1299" spans="30:34">
      <c r="AD1299" s="10" t="s">
        <v>55</v>
      </c>
      <c r="AE1299" s="11">
        <v>42935</v>
      </c>
      <c r="AF1299" s="12">
        <f t="shared" si="62"/>
        <v>4</v>
      </c>
      <c r="AG1299" s="11">
        <f t="shared" si="61"/>
        <v>42940</v>
      </c>
      <c r="AH1299" s="11">
        <f t="shared" si="63"/>
        <v>42942</v>
      </c>
    </row>
    <row r="1300" spans="30:34">
      <c r="AD1300" s="10" t="s">
        <v>56</v>
      </c>
      <c r="AE1300" s="11">
        <v>42936</v>
      </c>
      <c r="AF1300" s="12">
        <f t="shared" si="62"/>
        <v>5</v>
      </c>
      <c r="AG1300" s="11">
        <f t="shared" si="61"/>
        <v>42941</v>
      </c>
      <c r="AH1300" s="11">
        <f t="shared" si="63"/>
        <v>42943</v>
      </c>
    </row>
    <row r="1301" spans="30:34">
      <c r="AD1301" s="10" t="s">
        <v>57</v>
      </c>
      <c r="AE1301" s="11">
        <v>42937</v>
      </c>
      <c r="AF1301" s="12">
        <f t="shared" si="62"/>
        <v>6</v>
      </c>
      <c r="AG1301" s="11">
        <f t="shared" si="61"/>
        <v>42942</v>
      </c>
      <c r="AH1301" s="11">
        <f t="shared" si="63"/>
        <v>42944</v>
      </c>
    </row>
    <row r="1302" spans="30:34">
      <c r="AD1302" s="10" t="s">
        <v>58</v>
      </c>
      <c r="AE1302" s="11">
        <v>42938</v>
      </c>
      <c r="AF1302" s="12">
        <f t="shared" si="62"/>
        <v>7</v>
      </c>
      <c r="AG1302" s="11">
        <f t="shared" si="61"/>
        <v>42943</v>
      </c>
      <c r="AH1302" s="11">
        <f t="shared" si="63"/>
        <v>42947</v>
      </c>
    </row>
    <row r="1303" spans="30:34">
      <c r="AD1303" s="10" t="s">
        <v>52</v>
      </c>
      <c r="AE1303" s="11">
        <v>42939</v>
      </c>
      <c r="AF1303" s="12">
        <f t="shared" si="62"/>
        <v>1</v>
      </c>
      <c r="AG1303" s="11">
        <f t="shared" si="61"/>
        <v>42943</v>
      </c>
      <c r="AH1303" s="11">
        <f t="shared" si="63"/>
        <v>42947</v>
      </c>
    </row>
    <row r="1304" spans="30:34">
      <c r="AD1304" s="10" t="s">
        <v>53</v>
      </c>
      <c r="AE1304" s="11">
        <v>42940</v>
      </c>
      <c r="AF1304" s="12">
        <f t="shared" si="62"/>
        <v>2</v>
      </c>
      <c r="AG1304" s="11">
        <f t="shared" si="61"/>
        <v>42944</v>
      </c>
      <c r="AH1304" s="11">
        <f t="shared" si="63"/>
        <v>42948</v>
      </c>
    </row>
    <row r="1305" spans="30:34">
      <c r="AD1305" s="10" t="s">
        <v>54</v>
      </c>
      <c r="AE1305" s="11">
        <v>42941</v>
      </c>
      <c r="AF1305" s="12">
        <f t="shared" si="62"/>
        <v>3</v>
      </c>
      <c r="AG1305" s="11">
        <f t="shared" si="61"/>
        <v>42947</v>
      </c>
      <c r="AH1305" s="11">
        <f t="shared" si="63"/>
        <v>42949</v>
      </c>
    </row>
    <row r="1306" spans="30:34">
      <c r="AD1306" s="10" t="s">
        <v>55</v>
      </c>
      <c r="AE1306" s="11">
        <v>42942</v>
      </c>
      <c r="AF1306" s="12">
        <f t="shared" si="62"/>
        <v>4</v>
      </c>
      <c r="AG1306" s="11">
        <f t="shared" si="61"/>
        <v>42947</v>
      </c>
      <c r="AH1306" s="11">
        <f t="shared" si="63"/>
        <v>42949</v>
      </c>
    </row>
    <row r="1307" spans="30:34">
      <c r="AD1307" s="10" t="s">
        <v>56</v>
      </c>
      <c r="AE1307" s="11">
        <v>42943</v>
      </c>
      <c r="AF1307" s="12">
        <f t="shared" si="62"/>
        <v>5</v>
      </c>
      <c r="AG1307" s="11">
        <f t="shared" si="61"/>
        <v>42948</v>
      </c>
      <c r="AH1307" s="11">
        <f t="shared" si="63"/>
        <v>42950</v>
      </c>
    </row>
    <row r="1308" spans="30:34">
      <c r="AD1308" s="10" t="s">
        <v>57</v>
      </c>
      <c r="AE1308" s="11">
        <v>42944</v>
      </c>
      <c r="AF1308" s="12">
        <f t="shared" si="62"/>
        <v>6</v>
      </c>
      <c r="AG1308" s="11">
        <f t="shared" si="61"/>
        <v>42949</v>
      </c>
      <c r="AH1308" s="11">
        <f t="shared" si="63"/>
        <v>42951</v>
      </c>
    </row>
    <row r="1309" spans="30:34">
      <c r="AD1309" s="10" t="s">
        <v>58</v>
      </c>
      <c r="AE1309" s="11">
        <v>42945</v>
      </c>
      <c r="AF1309" s="12">
        <f t="shared" si="62"/>
        <v>7</v>
      </c>
      <c r="AG1309" s="11">
        <f t="shared" si="61"/>
        <v>42950</v>
      </c>
      <c r="AH1309" s="11">
        <f t="shared" si="63"/>
        <v>42954</v>
      </c>
    </row>
    <row r="1310" spans="30:34">
      <c r="AD1310" s="10" t="s">
        <v>52</v>
      </c>
      <c r="AE1310" s="11">
        <v>42946</v>
      </c>
      <c r="AF1310" s="12">
        <f t="shared" si="62"/>
        <v>1</v>
      </c>
      <c r="AG1310" s="11">
        <f t="shared" ref="AG1310:AG1373" si="64">AE1310+(VLOOKUP(AF1310, $AJ$4:$AK$10, 2, FALSE))</f>
        <v>42950</v>
      </c>
      <c r="AH1310" s="11">
        <f t="shared" si="63"/>
        <v>42954</v>
      </c>
    </row>
    <row r="1311" spans="30:34">
      <c r="AD1311" s="10" t="s">
        <v>53</v>
      </c>
      <c r="AE1311" s="11">
        <v>42947</v>
      </c>
      <c r="AF1311" s="12">
        <f t="shared" si="62"/>
        <v>2</v>
      </c>
      <c r="AG1311" s="11">
        <f t="shared" si="64"/>
        <v>42951</v>
      </c>
      <c r="AH1311" s="11">
        <f t="shared" si="63"/>
        <v>42955</v>
      </c>
    </row>
    <row r="1312" spans="30:34">
      <c r="AD1312" s="10" t="s">
        <v>54</v>
      </c>
      <c r="AE1312" s="11">
        <v>42948</v>
      </c>
      <c r="AF1312" s="12">
        <f t="shared" si="62"/>
        <v>3</v>
      </c>
      <c r="AG1312" s="11">
        <f t="shared" si="64"/>
        <v>42954</v>
      </c>
      <c r="AH1312" s="11">
        <f t="shared" si="63"/>
        <v>42956</v>
      </c>
    </row>
    <row r="1313" spans="30:34">
      <c r="AD1313" s="10" t="s">
        <v>55</v>
      </c>
      <c r="AE1313" s="11">
        <v>42949</v>
      </c>
      <c r="AF1313" s="12">
        <f t="shared" si="62"/>
        <v>4</v>
      </c>
      <c r="AG1313" s="11">
        <f t="shared" si="64"/>
        <v>42954</v>
      </c>
      <c r="AH1313" s="11">
        <f t="shared" si="63"/>
        <v>42956</v>
      </c>
    </row>
    <row r="1314" spans="30:34">
      <c r="AD1314" s="10" t="s">
        <v>56</v>
      </c>
      <c r="AE1314" s="11">
        <v>42950</v>
      </c>
      <c r="AF1314" s="12">
        <f t="shared" si="62"/>
        <v>5</v>
      </c>
      <c r="AG1314" s="11">
        <f t="shared" si="64"/>
        <v>42955</v>
      </c>
      <c r="AH1314" s="11">
        <f t="shared" si="63"/>
        <v>42957</v>
      </c>
    </row>
    <row r="1315" spans="30:34">
      <c r="AD1315" s="10" t="s">
        <v>57</v>
      </c>
      <c r="AE1315" s="11">
        <v>42951</v>
      </c>
      <c r="AF1315" s="12">
        <f t="shared" si="62"/>
        <v>6</v>
      </c>
      <c r="AG1315" s="11">
        <f t="shared" si="64"/>
        <v>42956</v>
      </c>
      <c r="AH1315" s="11">
        <f t="shared" si="63"/>
        <v>42958</v>
      </c>
    </row>
    <row r="1316" spans="30:34">
      <c r="AD1316" s="10" t="s">
        <v>58</v>
      </c>
      <c r="AE1316" s="11">
        <v>42952</v>
      </c>
      <c r="AF1316" s="12">
        <f t="shared" si="62"/>
        <v>7</v>
      </c>
      <c r="AG1316" s="11">
        <f t="shared" si="64"/>
        <v>42957</v>
      </c>
      <c r="AH1316" s="11">
        <f t="shared" si="63"/>
        <v>42961</v>
      </c>
    </row>
    <row r="1317" spans="30:34">
      <c r="AD1317" s="10" t="s">
        <v>52</v>
      </c>
      <c r="AE1317" s="11">
        <v>42953</v>
      </c>
      <c r="AF1317" s="12">
        <f t="shared" si="62"/>
        <v>1</v>
      </c>
      <c r="AG1317" s="11">
        <f t="shared" si="64"/>
        <v>42957</v>
      </c>
      <c r="AH1317" s="11">
        <f t="shared" si="63"/>
        <v>42961</v>
      </c>
    </row>
    <row r="1318" spans="30:34">
      <c r="AD1318" s="10" t="s">
        <v>53</v>
      </c>
      <c r="AE1318" s="11">
        <v>42954</v>
      </c>
      <c r="AF1318" s="12">
        <f t="shared" si="62"/>
        <v>2</v>
      </c>
      <c r="AG1318" s="11">
        <f t="shared" si="64"/>
        <v>42958</v>
      </c>
      <c r="AH1318" s="11">
        <f t="shared" si="63"/>
        <v>42962</v>
      </c>
    </row>
    <row r="1319" spans="30:34">
      <c r="AD1319" s="10" t="s">
        <v>54</v>
      </c>
      <c r="AE1319" s="11">
        <v>42955</v>
      </c>
      <c r="AF1319" s="12">
        <f t="shared" si="62"/>
        <v>3</v>
      </c>
      <c r="AG1319" s="11">
        <f t="shared" si="64"/>
        <v>42961</v>
      </c>
      <c r="AH1319" s="11">
        <f t="shared" si="63"/>
        <v>42963</v>
      </c>
    </row>
    <row r="1320" spans="30:34">
      <c r="AD1320" s="10" t="s">
        <v>55</v>
      </c>
      <c r="AE1320" s="11">
        <v>42956</v>
      </c>
      <c r="AF1320" s="12">
        <f t="shared" si="62"/>
        <v>4</v>
      </c>
      <c r="AG1320" s="11">
        <f t="shared" si="64"/>
        <v>42961</v>
      </c>
      <c r="AH1320" s="11">
        <f t="shared" si="63"/>
        <v>42963</v>
      </c>
    </row>
    <row r="1321" spans="30:34">
      <c r="AD1321" s="10" t="s">
        <v>56</v>
      </c>
      <c r="AE1321" s="11">
        <v>42957</v>
      </c>
      <c r="AF1321" s="12">
        <f t="shared" si="62"/>
        <v>5</v>
      </c>
      <c r="AG1321" s="11">
        <f t="shared" si="64"/>
        <v>42962</v>
      </c>
      <c r="AH1321" s="11">
        <f t="shared" si="63"/>
        <v>42964</v>
      </c>
    </row>
    <row r="1322" spans="30:34">
      <c r="AD1322" s="10" t="s">
        <v>57</v>
      </c>
      <c r="AE1322" s="11">
        <v>42958</v>
      </c>
      <c r="AF1322" s="12">
        <f t="shared" si="62"/>
        <v>6</v>
      </c>
      <c r="AG1322" s="11">
        <f t="shared" si="64"/>
        <v>42963</v>
      </c>
      <c r="AH1322" s="11">
        <f t="shared" si="63"/>
        <v>42965</v>
      </c>
    </row>
    <row r="1323" spans="30:34">
      <c r="AD1323" s="10" t="s">
        <v>58</v>
      </c>
      <c r="AE1323" s="11">
        <v>42959</v>
      </c>
      <c r="AF1323" s="12">
        <f t="shared" si="62"/>
        <v>7</v>
      </c>
      <c r="AG1323" s="11">
        <f t="shared" si="64"/>
        <v>42964</v>
      </c>
      <c r="AH1323" s="11">
        <f t="shared" si="63"/>
        <v>42968</v>
      </c>
    </row>
    <row r="1324" spans="30:34">
      <c r="AD1324" s="10" t="s">
        <v>52</v>
      </c>
      <c r="AE1324" s="11">
        <v>42960</v>
      </c>
      <c r="AF1324" s="12">
        <f t="shared" si="62"/>
        <v>1</v>
      </c>
      <c r="AG1324" s="11">
        <f t="shared" si="64"/>
        <v>42964</v>
      </c>
      <c r="AH1324" s="11">
        <f t="shared" si="63"/>
        <v>42968</v>
      </c>
    </row>
    <row r="1325" spans="30:34">
      <c r="AD1325" s="10" t="s">
        <v>53</v>
      </c>
      <c r="AE1325" s="11">
        <v>42961</v>
      </c>
      <c r="AF1325" s="12">
        <f t="shared" si="62"/>
        <v>2</v>
      </c>
      <c r="AG1325" s="11">
        <f t="shared" si="64"/>
        <v>42965</v>
      </c>
      <c r="AH1325" s="11">
        <f t="shared" si="63"/>
        <v>42969</v>
      </c>
    </row>
    <row r="1326" spans="30:34">
      <c r="AD1326" s="10" t="s">
        <v>54</v>
      </c>
      <c r="AE1326" s="11">
        <v>42962</v>
      </c>
      <c r="AF1326" s="12">
        <f t="shared" si="62"/>
        <v>3</v>
      </c>
      <c r="AG1326" s="11">
        <f t="shared" si="64"/>
        <v>42968</v>
      </c>
      <c r="AH1326" s="11">
        <f t="shared" si="63"/>
        <v>42970</v>
      </c>
    </row>
    <row r="1327" spans="30:34">
      <c r="AD1327" s="10" t="s">
        <v>55</v>
      </c>
      <c r="AE1327" s="11">
        <v>42963</v>
      </c>
      <c r="AF1327" s="12">
        <f t="shared" si="62"/>
        <v>4</v>
      </c>
      <c r="AG1327" s="11">
        <f t="shared" si="64"/>
        <v>42968</v>
      </c>
      <c r="AH1327" s="11">
        <f t="shared" si="63"/>
        <v>42970</v>
      </c>
    </row>
    <row r="1328" spans="30:34">
      <c r="AD1328" s="10" t="s">
        <v>56</v>
      </c>
      <c r="AE1328" s="11">
        <v>42964</v>
      </c>
      <c r="AF1328" s="12">
        <f t="shared" si="62"/>
        <v>5</v>
      </c>
      <c r="AG1328" s="11">
        <f t="shared" si="64"/>
        <v>42969</v>
      </c>
      <c r="AH1328" s="11">
        <f t="shared" si="63"/>
        <v>42971</v>
      </c>
    </row>
    <row r="1329" spans="30:34">
      <c r="AD1329" s="10" t="s">
        <v>57</v>
      </c>
      <c r="AE1329" s="11">
        <v>42965</v>
      </c>
      <c r="AF1329" s="12">
        <f t="shared" si="62"/>
        <v>6</v>
      </c>
      <c r="AG1329" s="11">
        <f t="shared" si="64"/>
        <v>42970</v>
      </c>
      <c r="AH1329" s="11">
        <f t="shared" si="63"/>
        <v>42972</v>
      </c>
    </row>
    <row r="1330" spans="30:34">
      <c r="AD1330" s="10" t="s">
        <v>58</v>
      </c>
      <c r="AE1330" s="11">
        <v>42966</v>
      </c>
      <c r="AF1330" s="12">
        <f t="shared" si="62"/>
        <v>7</v>
      </c>
      <c r="AG1330" s="11">
        <f t="shared" si="64"/>
        <v>42971</v>
      </c>
      <c r="AH1330" s="11">
        <f t="shared" si="63"/>
        <v>42975</v>
      </c>
    </row>
    <row r="1331" spans="30:34">
      <c r="AD1331" s="10" t="s">
        <v>52</v>
      </c>
      <c r="AE1331" s="11">
        <v>42967</v>
      </c>
      <c r="AF1331" s="12">
        <f t="shared" si="62"/>
        <v>1</v>
      </c>
      <c r="AG1331" s="11">
        <f t="shared" si="64"/>
        <v>42971</v>
      </c>
      <c r="AH1331" s="11">
        <f t="shared" si="63"/>
        <v>42975</v>
      </c>
    </row>
    <row r="1332" spans="30:34">
      <c r="AD1332" s="10" t="s">
        <v>53</v>
      </c>
      <c r="AE1332" s="11">
        <v>42968</v>
      </c>
      <c r="AF1332" s="12">
        <f t="shared" si="62"/>
        <v>2</v>
      </c>
      <c r="AG1332" s="11">
        <f t="shared" si="64"/>
        <v>42972</v>
      </c>
      <c r="AH1332" s="11">
        <f t="shared" si="63"/>
        <v>42976</v>
      </c>
    </row>
    <row r="1333" spans="30:34">
      <c r="AD1333" s="10" t="s">
        <v>54</v>
      </c>
      <c r="AE1333" s="11">
        <v>42969</v>
      </c>
      <c r="AF1333" s="12">
        <f t="shared" si="62"/>
        <v>3</v>
      </c>
      <c r="AG1333" s="11">
        <f t="shared" si="64"/>
        <v>42975</v>
      </c>
      <c r="AH1333" s="11">
        <f t="shared" si="63"/>
        <v>42977</v>
      </c>
    </row>
    <row r="1334" spans="30:34">
      <c r="AD1334" s="10" t="s">
        <v>55</v>
      </c>
      <c r="AE1334" s="11">
        <v>42970</v>
      </c>
      <c r="AF1334" s="12">
        <f t="shared" si="62"/>
        <v>4</v>
      </c>
      <c r="AG1334" s="11">
        <f t="shared" si="64"/>
        <v>42975</v>
      </c>
      <c r="AH1334" s="11">
        <f t="shared" si="63"/>
        <v>42977</v>
      </c>
    </row>
    <row r="1335" spans="30:34">
      <c r="AD1335" s="10" t="s">
        <v>56</v>
      </c>
      <c r="AE1335" s="11">
        <v>42971</v>
      </c>
      <c r="AF1335" s="12">
        <f t="shared" si="62"/>
        <v>5</v>
      </c>
      <c r="AG1335" s="11">
        <f t="shared" si="64"/>
        <v>42976</v>
      </c>
      <c r="AH1335" s="11">
        <f t="shared" si="63"/>
        <v>42978</v>
      </c>
    </row>
    <row r="1336" spans="30:34">
      <c r="AD1336" s="10" t="s">
        <v>57</v>
      </c>
      <c r="AE1336" s="11">
        <v>42972</v>
      </c>
      <c r="AF1336" s="12">
        <f t="shared" si="62"/>
        <v>6</v>
      </c>
      <c r="AG1336" s="11">
        <f t="shared" si="64"/>
        <v>42977</v>
      </c>
      <c r="AH1336" s="11">
        <f t="shared" si="63"/>
        <v>42979</v>
      </c>
    </row>
    <row r="1337" spans="30:34">
      <c r="AD1337" s="10" t="s">
        <v>58</v>
      </c>
      <c r="AE1337" s="11">
        <v>42973</v>
      </c>
      <c r="AF1337" s="12">
        <f t="shared" si="62"/>
        <v>7</v>
      </c>
      <c r="AG1337" s="11">
        <f t="shared" si="64"/>
        <v>42978</v>
      </c>
      <c r="AH1337" s="11">
        <f t="shared" si="63"/>
        <v>42983</v>
      </c>
    </row>
    <row r="1338" spans="30:34">
      <c r="AD1338" s="10" t="s">
        <v>52</v>
      </c>
      <c r="AE1338" s="11">
        <v>42974</v>
      </c>
      <c r="AF1338" s="12">
        <f t="shared" si="62"/>
        <v>1</v>
      </c>
      <c r="AG1338" s="11">
        <f t="shared" si="64"/>
        <v>42978</v>
      </c>
      <c r="AH1338" s="11">
        <f t="shared" si="63"/>
        <v>42983</v>
      </c>
    </row>
    <row r="1339" spans="30:34">
      <c r="AD1339" s="10" t="s">
        <v>53</v>
      </c>
      <c r="AE1339" s="11">
        <v>42975</v>
      </c>
      <c r="AF1339" s="12">
        <f t="shared" si="62"/>
        <v>2</v>
      </c>
      <c r="AG1339" s="11">
        <f t="shared" si="64"/>
        <v>42979</v>
      </c>
      <c r="AH1339" s="11">
        <f t="shared" si="63"/>
        <v>42984</v>
      </c>
    </row>
    <row r="1340" spans="30:34">
      <c r="AD1340" s="10" t="s">
        <v>54</v>
      </c>
      <c r="AE1340" s="11">
        <v>42976</v>
      </c>
      <c r="AF1340" s="12">
        <f t="shared" si="62"/>
        <v>3</v>
      </c>
      <c r="AG1340" s="11">
        <v>42983</v>
      </c>
      <c r="AH1340" s="11">
        <f t="shared" si="63"/>
        <v>42985</v>
      </c>
    </row>
    <row r="1341" spans="30:34">
      <c r="AD1341" s="10" t="s">
        <v>55</v>
      </c>
      <c r="AE1341" s="11">
        <v>42977</v>
      </c>
      <c r="AF1341" s="12">
        <f t="shared" si="62"/>
        <v>4</v>
      </c>
      <c r="AG1341" s="11">
        <v>42983</v>
      </c>
      <c r="AH1341" s="11">
        <f t="shared" si="63"/>
        <v>42985</v>
      </c>
    </row>
    <row r="1342" spans="30:34">
      <c r="AD1342" s="10" t="s">
        <v>56</v>
      </c>
      <c r="AE1342" s="11">
        <v>42978</v>
      </c>
      <c r="AF1342" s="12">
        <f t="shared" si="62"/>
        <v>5</v>
      </c>
      <c r="AG1342" s="11">
        <v>42984</v>
      </c>
      <c r="AH1342" s="11">
        <f t="shared" si="63"/>
        <v>42986</v>
      </c>
    </row>
    <row r="1343" spans="30:34">
      <c r="AD1343" s="10" t="s">
        <v>57</v>
      </c>
      <c r="AE1343" s="11">
        <v>42979</v>
      </c>
      <c r="AF1343" s="12">
        <f t="shared" si="62"/>
        <v>6</v>
      </c>
      <c r="AG1343" s="11">
        <v>42985</v>
      </c>
      <c r="AH1343" s="11">
        <f t="shared" si="63"/>
        <v>42989</v>
      </c>
    </row>
    <row r="1344" spans="30:34">
      <c r="AD1344" s="10" t="s">
        <v>58</v>
      </c>
      <c r="AE1344" s="11">
        <v>42980</v>
      </c>
      <c r="AF1344" s="12">
        <f t="shared" si="62"/>
        <v>7</v>
      </c>
      <c r="AG1344" s="11">
        <v>42986</v>
      </c>
      <c r="AH1344" s="11">
        <f t="shared" si="63"/>
        <v>42990</v>
      </c>
    </row>
    <row r="1345" spans="30:34">
      <c r="AD1345" s="10" t="s">
        <v>52</v>
      </c>
      <c r="AE1345" s="11">
        <v>42981</v>
      </c>
      <c r="AF1345" s="12">
        <f t="shared" si="62"/>
        <v>1</v>
      </c>
      <c r="AG1345" s="11">
        <v>42986</v>
      </c>
      <c r="AH1345" s="11">
        <f t="shared" si="63"/>
        <v>42990</v>
      </c>
    </row>
    <row r="1346" spans="30:34">
      <c r="AD1346" s="10" t="s">
        <v>53</v>
      </c>
      <c r="AE1346" s="11">
        <v>42982</v>
      </c>
      <c r="AF1346" s="12">
        <f t="shared" si="62"/>
        <v>2</v>
      </c>
      <c r="AG1346" s="11">
        <v>42986</v>
      </c>
      <c r="AH1346" s="11">
        <f t="shared" si="63"/>
        <v>42990</v>
      </c>
    </row>
    <row r="1347" spans="30:34">
      <c r="AD1347" s="10" t="s">
        <v>54</v>
      </c>
      <c r="AE1347" s="11">
        <v>42983</v>
      </c>
      <c r="AF1347" s="12">
        <f t="shared" si="62"/>
        <v>3</v>
      </c>
      <c r="AG1347" s="11">
        <f t="shared" si="64"/>
        <v>42989</v>
      </c>
      <c r="AH1347" s="11">
        <f t="shared" si="63"/>
        <v>42991</v>
      </c>
    </row>
    <row r="1348" spans="30:34">
      <c r="AD1348" s="10" t="s">
        <v>55</v>
      </c>
      <c r="AE1348" s="11">
        <v>42984</v>
      </c>
      <c r="AF1348" s="12">
        <f t="shared" si="62"/>
        <v>4</v>
      </c>
      <c r="AG1348" s="11">
        <f t="shared" si="64"/>
        <v>42989</v>
      </c>
      <c r="AH1348" s="11">
        <f t="shared" si="63"/>
        <v>42991</v>
      </c>
    </row>
    <row r="1349" spans="30:34">
      <c r="AD1349" s="10" t="s">
        <v>56</v>
      </c>
      <c r="AE1349" s="11">
        <v>42985</v>
      </c>
      <c r="AF1349" s="12">
        <f t="shared" ref="AF1349:AF1412" si="65">WEEKDAY(AE1349)</f>
        <v>5</v>
      </c>
      <c r="AG1349" s="11">
        <f t="shared" si="64"/>
        <v>42990</v>
      </c>
      <c r="AH1349" s="11">
        <f t="shared" ref="AH1349:AH1412" si="66">IFERROR((WORKDAY(AG1349, 2, AC$4:AC$53)), "")</f>
        <v>42992</v>
      </c>
    </row>
    <row r="1350" spans="30:34">
      <c r="AD1350" s="10" t="s">
        <v>57</v>
      </c>
      <c r="AE1350" s="11">
        <v>42986</v>
      </c>
      <c r="AF1350" s="12">
        <f t="shared" si="65"/>
        <v>6</v>
      </c>
      <c r="AG1350" s="11">
        <f t="shared" si="64"/>
        <v>42991</v>
      </c>
      <c r="AH1350" s="11">
        <f t="shared" si="66"/>
        <v>42993</v>
      </c>
    </row>
    <row r="1351" spans="30:34">
      <c r="AD1351" s="10" t="s">
        <v>58</v>
      </c>
      <c r="AE1351" s="11">
        <v>42987</v>
      </c>
      <c r="AF1351" s="12">
        <f t="shared" si="65"/>
        <v>7</v>
      </c>
      <c r="AG1351" s="11">
        <f t="shared" si="64"/>
        <v>42992</v>
      </c>
      <c r="AH1351" s="11">
        <f t="shared" si="66"/>
        <v>42996</v>
      </c>
    </row>
    <row r="1352" spans="30:34">
      <c r="AD1352" s="10" t="s">
        <v>52</v>
      </c>
      <c r="AE1352" s="11">
        <v>42988</v>
      </c>
      <c r="AF1352" s="12">
        <f t="shared" si="65"/>
        <v>1</v>
      </c>
      <c r="AG1352" s="11">
        <f t="shared" si="64"/>
        <v>42992</v>
      </c>
      <c r="AH1352" s="11">
        <f t="shared" si="66"/>
        <v>42996</v>
      </c>
    </row>
    <row r="1353" spans="30:34">
      <c r="AD1353" s="10" t="s">
        <v>53</v>
      </c>
      <c r="AE1353" s="11">
        <v>42989</v>
      </c>
      <c r="AF1353" s="12">
        <f t="shared" si="65"/>
        <v>2</v>
      </c>
      <c r="AG1353" s="11">
        <f t="shared" si="64"/>
        <v>42993</v>
      </c>
      <c r="AH1353" s="11">
        <f t="shared" si="66"/>
        <v>42997</v>
      </c>
    </row>
    <row r="1354" spans="30:34">
      <c r="AD1354" s="10" t="s">
        <v>54</v>
      </c>
      <c r="AE1354" s="11">
        <v>42990</v>
      </c>
      <c r="AF1354" s="12">
        <f t="shared" si="65"/>
        <v>3</v>
      </c>
      <c r="AG1354" s="11">
        <f t="shared" si="64"/>
        <v>42996</v>
      </c>
      <c r="AH1354" s="11">
        <f t="shared" si="66"/>
        <v>42998</v>
      </c>
    </row>
    <row r="1355" spans="30:34">
      <c r="AD1355" s="10" t="s">
        <v>55</v>
      </c>
      <c r="AE1355" s="11">
        <v>42991</v>
      </c>
      <c r="AF1355" s="12">
        <f t="shared" si="65"/>
        <v>4</v>
      </c>
      <c r="AG1355" s="11">
        <f t="shared" si="64"/>
        <v>42996</v>
      </c>
      <c r="AH1355" s="11">
        <f t="shared" si="66"/>
        <v>42998</v>
      </c>
    </row>
    <row r="1356" spans="30:34">
      <c r="AD1356" s="10" t="s">
        <v>56</v>
      </c>
      <c r="AE1356" s="11">
        <v>42992</v>
      </c>
      <c r="AF1356" s="12">
        <f t="shared" si="65"/>
        <v>5</v>
      </c>
      <c r="AG1356" s="11">
        <f t="shared" si="64"/>
        <v>42997</v>
      </c>
      <c r="AH1356" s="11">
        <f t="shared" si="66"/>
        <v>42999</v>
      </c>
    </row>
    <row r="1357" spans="30:34">
      <c r="AD1357" s="10" t="s">
        <v>57</v>
      </c>
      <c r="AE1357" s="11">
        <v>42993</v>
      </c>
      <c r="AF1357" s="12">
        <f t="shared" si="65"/>
        <v>6</v>
      </c>
      <c r="AG1357" s="11">
        <f t="shared" si="64"/>
        <v>42998</v>
      </c>
      <c r="AH1357" s="11">
        <f t="shared" si="66"/>
        <v>43000</v>
      </c>
    </row>
    <row r="1358" spans="30:34">
      <c r="AD1358" s="10" t="s">
        <v>58</v>
      </c>
      <c r="AE1358" s="11">
        <v>42994</v>
      </c>
      <c r="AF1358" s="12">
        <f t="shared" si="65"/>
        <v>7</v>
      </c>
      <c r="AG1358" s="11">
        <f t="shared" si="64"/>
        <v>42999</v>
      </c>
      <c r="AH1358" s="11">
        <f t="shared" si="66"/>
        <v>43003</v>
      </c>
    </row>
    <row r="1359" spans="30:34">
      <c r="AD1359" s="10" t="s">
        <v>52</v>
      </c>
      <c r="AE1359" s="11">
        <v>42995</v>
      </c>
      <c r="AF1359" s="12">
        <f t="shared" si="65"/>
        <v>1</v>
      </c>
      <c r="AG1359" s="11">
        <f t="shared" si="64"/>
        <v>42999</v>
      </c>
      <c r="AH1359" s="11">
        <f t="shared" si="66"/>
        <v>43003</v>
      </c>
    </row>
    <row r="1360" spans="30:34">
      <c r="AD1360" s="10" t="s">
        <v>53</v>
      </c>
      <c r="AE1360" s="11">
        <v>42996</v>
      </c>
      <c r="AF1360" s="12">
        <f t="shared" si="65"/>
        <v>2</v>
      </c>
      <c r="AG1360" s="11">
        <f t="shared" si="64"/>
        <v>43000</v>
      </c>
      <c r="AH1360" s="11">
        <f t="shared" si="66"/>
        <v>43004</v>
      </c>
    </row>
    <row r="1361" spans="30:34">
      <c r="AD1361" s="10" t="s">
        <v>54</v>
      </c>
      <c r="AE1361" s="11">
        <v>42997</v>
      </c>
      <c r="AF1361" s="12">
        <f t="shared" si="65"/>
        <v>3</v>
      </c>
      <c r="AG1361" s="11">
        <f t="shared" si="64"/>
        <v>43003</v>
      </c>
      <c r="AH1361" s="11">
        <f t="shared" si="66"/>
        <v>43005</v>
      </c>
    </row>
    <row r="1362" spans="30:34">
      <c r="AD1362" s="10" t="s">
        <v>55</v>
      </c>
      <c r="AE1362" s="11">
        <v>42998</v>
      </c>
      <c r="AF1362" s="12">
        <f t="shared" si="65"/>
        <v>4</v>
      </c>
      <c r="AG1362" s="11">
        <f t="shared" si="64"/>
        <v>43003</v>
      </c>
      <c r="AH1362" s="11">
        <f t="shared" si="66"/>
        <v>43005</v>
      </c>
    </row>
    <row r="1363" spans="30:34">
      <c r="AD1363" s="10" t="s">
        <v>56</v>
      </c>
      <c r="AE1363" s="11">
        <v>42999</v>
      </c>
      <c r="AF1363" s="12">
        <f t="shared" si="65"/>
        <v>5</v>
      </c>
      <c r="AG1363" s="11">
        <f t="shared" si="64"/>
        <v>43004</v>
      </c>
      <c r="AH1363" s="11">
        <f t="shared" si="66"/>
        <v>43006</v>
      </c>
    </row>
    <row r="1364" spans="30:34">
      <c r="AD1364" s="10" t="s">
        <v>57</v>
      </c>
      <c r="AE1364" s="11">
        <v>43000</v>
      </c>
      <c r="AF1364" s="12">
        <f t="shared" si="65"/>
        <v>6</v>
      </c>
      <c r="AG1364" s="11">
        <f t="shared" si="64"/>
        <v>43005</v>
      </c>
      <c r="AH1364" s="11">
        <f t="shared" si="66"/>
        <v>43007</v>
      </c>
    </row>
    <row r="1365" spans="30:34">
      <c r="AD1365" s="10" t="s">
        <v>58</v>
      </c>
      <c r="AE1365" s="11">
        <v>43001</v>
      </c>
      <c r="AF1365" s="12">
        <f t="shared" si="65"/>
        <v>7</v>
      </c>
      <c r="AG1365" s="11">
        <f t="shared" si="64"/>
        <v>43006</v>
      </c>
      <c r="AH1365" s="11">
        <f t="shared" si="66"/>
        <v>43010</v>
      </c>
    </row>
    <row r="1366" spans="30:34">
      <c r="AD1366" s="10" t="s">
        <v>52</v>
      </c>
      <c r="AE1366" s="11">
        <v>43002</v>
      </c>
      <c r="AF1366" s="12">
        <f t="shared" si="65"/>
        <v>1</v>
      </c>
      <c r="AG1366" s="11">
        <f t="shared" si="64"/>
        <v>43006</v>
      </c>
      <c r="AH1366" s="11">
        <f t="shared" si="66"/>
        <v>43010</v>
      </c>
    </row>
    <row r="1367" spans="30:34">
      <c r="AD1367" s="10" t="s">
        <v>53</v>
      </c>
      <c r="AE1367" s="11">
        <v>43003</v>
      </c>
      <c r="AF1367" s="12">
        <f t="shared" si="65"/>
        <v>2</v>
      </c>
      <c r="AG1367" s="11">
        <f t="shared" si="64"/>
        <v>43007</v>
      </c>
      <c r="AH1367" s="11">
        <f t="shared" si="66"/>
        <v>43011</v>
      </c>
    </row>
    <row r="1368" spans="30:34">
      <c r="AD1368" s="10" t="s">
        <v>54</v>
      </c>
      <c r="AE1368" s="11">
        <v>43004</v>
      </c>
      <c r="AF1368" s="12">
        <f t="shared" si="65"/>
        <v>3</v>
      </c>
      <c r="AG1368" s="11">
        <f t="shared" si="64"/>
        <v>43010</v>
      </c>
      <c r="AH1368" s="11">
        <f t="shared" si="66"/>
        <v>43012</v>
      </c>
    </row>
    <row r="1369" spans="30:34">
      <c r="AD1369" s="10" t="s">
        <v>55</v>
      </c>
      <c r="AE1369" s="11">
        <v>43005</v>
      </c>
      <c r="AF1369" s="12">
        <f t="shared" si="65"/>
        <v>4</v>
      </c>
      <c r="AG1369" s="11">
        <f t="shared" si="64"/>
        <v>43010</v>
      </c>
      <c r="AH1369" s="11">
        <f t="shared" si="66"/>
        <v>43012</v>
      </c>
    </row>
    <row r="1370" spans="30:34">
      <c r="AD1370" s="10" t="s">
        <v>56</v>
      </c>
      <c r="AE1370" s="11">
        <v>43006</v>
      </c>
      <c r="AF1370" s="12">
        <f t="shared" si="65"/>
        <v>5</v>
      </c>
      <c r="AG1370" s="11">
        <f t="shared" si="64"/>
        <v>43011</v>
      </c>
      <c r="AH1370" s="11">
        <f t="shared" si="66"/>
        <v>43013</v>
      </c>
    </row>
    <row r="1371" spans="30:34">
      <c r="AD1371" s="10" t="s">
        <v>57</v>
      </c>
      <c r="AE1371" s="11">
        <v>43007</v>
      </c>
      <c r="AF1371" s="12">
        <f t="shared" si="65"/>
        <v>6</v>
      </c>
      <c r="AG1371" s="11">
        <f t="shared" si="64"/>
        <v>43012</v>
      </c>
      <c r="AH1371" s="11">
        <f t="shared" si="66"/>
        <v>43014</v>
      </c>
    </row>
    <row r="1372" spans="30:34">
      <c r="AD1372" s="10" t="s">
        <v>58</v>
      </c>
      <c r="AE1372" s="11">
        <v>43008</v>
      </c>
      <c r="AF1372" s="12">
        <f t="shared" si="65"/>
        <v>7</v>
      </c>
      <c r="AG1372" s="11">
        <f t="shared" si="64"/>
        <v>43013</v>
      </c>
      <c r="AH1372" s="11">
        <f t="shared" si="66"/>
        <v>43018</v>
      </c>
    </row>
    <row r="1373" spans="30:34">
      <c r="AD1373" s="10" t="s">
        <v>52</v>
      </c>
      <c r="AE1373" s="11">
        <v>43009</v>
      </c>
      <c r="AF1373" s="12">
        <f t="shared" si="65"/>
        <v>1</v>
      </c>
      <c r="AG1373" s="11">
        <f t="shared" si="64"/>
        <v>43013</v>
      </c>
      <c r="AH1373" s="11">
        <f t="shared" si="66"/>
        <v>43018</v>
      </c>
    </row>
    <row r="1374" spans="30:34">
      <c r="AD1374" s="10" t="s">
        <v>53</v>
      </c>
      <c r="AE1374" s="11">
        <v>43010</v>
      </c>
      <c r="AF1374" s="12">
        <f t="shared" si="65"/>
        <v>2</v>
      </c>
      <c r="AG1374" s="11">
        <f t="shared" ref="AG1374:AG1437" si="67">AE1374+(VLOOKUP(AF1374, $AJ$4:$AK$10, 2, FALSE))</f>
        <v>43014</v>
      </c>
      <c r="AH1374" s="11">
        <f t="shared" si="66"/>
        <v>43019</v>
      </c>
    </row>
    <row r="1375" spans="30:34">
      <c r="AD1375" s="10" t="s">
        <v>54</v>
      </c>
      <c r="AE1375" s="11">
        <v>43011</v>
      </c>
      <c r="AF1375" s="12">
        <f t="shared" si="65"/>
        <v>3</v>
      </c>
      <c r="AG1375" s="11">
        <v>43018</v>
      </c>
      <c r="AH1375" s="11">
        <f t="shared" si="66"/>
        <v>43020</v>
      </c>
    </row>
    <row r="1376" spans="30:34">
      <c r="AD1376" s="10" t="s">
        <v>55</v>
      </c>
      <c r="AE1376" s="11">
        <v>43012</v>
      </c>
      <c r="AF1376" s="12">
        <f t="shared" si="65"/>
        <v>4</v>
      </c>
      <c r="AG1376" s="11">
        <v>43018</v>
      </c>
      <c r="AH1376" s="11">
        <f t="shared" si="66"/>
        <v>43020</v>
      </c>
    </row>
    <row r="1377" spans="30:34">
      <c r="AD1377" s="10" t="s">
        <v>56</v>
      </c>
      <c r="AE1377" s="11">
        <v>43013</v>
      </c>
      <c r="AF1377" s="12">
        <f t="shared" si="65"/>
        <v>5</v>
      </c>
      <c r="AG1377" s="11">
        <v>43019</v>
      </c>
      <c r="AH1377" s="11">
        <f t="shared" si="66"/>
        <v>43021</v>
      </c>
    </row>
    <row r="1378" spans="30:34">
      <c r="AD1378" s="10" t="s">
        <v>57</v>
      </c>
      <c r="AE1378" s="11">
        <v>43014</v>
      </c>
      <c r="AF1378" s="12">
        <f t="shared" si="65"/>
        <v>6</v>
      </c>
      <c r="AG1378" s="11">
        <v>43020</v>
      </c>
      <c r="AH1378" s="11">
        <f t="shared" si="66"/>
        <v>43024</v>
      </c>
    </row>
    <row r="1379" spans="30:34">
      <c r="AD1379" s="10" t="s">
        <v>58</v>
      </c>
      <c r="AE1379" s="11">
        <v>43015</v>
      </c>
      <c r="AF1379" s="12">
        <f t="shared" si="65"/>
        <v>7</v>
      </c>
      <c r="AG1379" s="11">
        <v>43021</v>
      </c>
      <c r="AH1379" s="11">
        <f t="shared" si="66"/>
        <v>43025</v>
      </c>
    </row>
    <row r="1380" spans="30:34">
      <c r="AD1380" s="10" t="s">
        <v>52</v>
      </c>
      <c r="AE1380" s="11">
        <v>43016</v>
      </c>
      <c r="AF1380" s="12">
        <f t="shared" si="65"/>
        <v>1</v>
      </c>
      <c r="AG1380" s="11">
        <v>43021</v>
      </c>
      <c r="AH1380" s="11">
        <f t="shared" si="66"/>
        <v>43025</v>
      </c>
    </row>
    <row r="1381" spans="30:34">
      <c r="AD1381" s="10" t="s">
        <v>53</v>
      </c>
      <c r="AE1381" s="11">
        <v>43017</v>
      </c>
      <c r="AF1381" s="12">
        <f t="shared" si="65"/>
        <v>2</v>
      </c>
      <c r="AG1381" s="11">
        <f t="shared" si="67"/>
        <v>43021</v>
      </c>
      <c r="AH1381" s="11">
        <f t="shared" si="66"/>
        <v>43025</v>
      </c>
    </row>
    <row r="1382" spans="30:34">
      <c r="AD1382" s="10" t="s">
        <v>54</v>
      </c>
      <c r="AE1382" s="11">
        <v>43018</v>
      </c>
      <c r="AF1382" s="12">
        <f t="shared" si="65"/>
        <v>3</v>
      </c>
      <c r="AG1382" s="11">
        <f t="shared" si="67"/>
        <v>43024</v>
      </c>
      <c r="AH1382" s="11">
        <f t="shared" si="66"/>
        <v>43026</v>
      </c>
    </row>
    <row r="1383" spans="30:34">
      <c r="AD1383" s="10" t="s">
        <v>55</v>
      </c>
      <c r="AE1383" s="11">
        <v>43019</v>
      </c>
      <c r="AF1383" s="12">
        <f t="shared" si="65"/>
        <v>4</v>
      </c>
      <c r="AG1383" s="11">
        <f t="shared" si="67"/>
        <v>43024</v>
      </c>
      <c r="AH1383" s="11">
        <f t="shared" si="66"/>
        <v>43026</v>
      </c>
    </row>
    <row r="1384" spans="30:34">
      <c r="AD1384" s="10" t="s">
        <v>56</v>
      </c>
      <c r="AE1384" s="11">
        <v>43020</v>
      </c>
      <c r="AF1384" s="12">
        <f t="shared" si="65"/>
        <v>5</v>
      </c>
      <c r="AG1384" s="11">
        <f t="shared" si="67"/>
        <v>43025</v>
      </c>
      <c r="AH1384" s="11">
        <f t="shared" si="66"/>
        <v>43027</v>
      </c>
    </row>
    <row r="1385" spans="30:34">
      <c r="AD1385" s="10" t="s">
        <v>57</v>
      </c>
      <c r="AE1385" s="11">
        <v>43021</v>
      </c>
      <c r="AF1385" s="12">
        <f t="shared" si="65"/>
        <v>6</v>
      </c>
      <c r="AG1385" s="11">
        <f t="shared" si="67"/>
        <v>43026</v>
      </c>
      <c r="AH1385" s="11">
        <f t="shared" si="66"/>
        <v>43028</v>
      </c>
    </row>
    <row r="1386" spans="30:34">
      <c r="AD1386" s="10" t="s">
        <v>58</v>
      </c>
      <c r="AE1386" s="11">
        <v>43022</v>
      </c>
      <c r="AF1386" s="12">
        <f t="shared" si="65"/>
        <v>7</v>
      </c>
      <c r="AG1386" s="11">
        <f t="shared" si="67"/>
        <v>43027</v>
      </c>
      <c r="AH1386" s="11">
        <f t="shared" si="66"/>
        <v>43031</v>
      </c>
    </row>
    <row r="1387" spans="30:34">
      <c r="AD1387" s="10" t="s">
        <v>52</v>
      </c>
      <c r="AE1387" s="11">
        <v>43023</v>
      </c>
      <c r="AF1387" s="12">
        <f t="shared" si="65"/>
        <v>1</v>
      </c>
      <c r="AG1387" s="11">
        <f t="shared" si="67"/>
        <v>43027</v>
      </c>
      <c r="AH1387" s="11">
        <f t="shared" si="66"/>
        <v>43031</v>
      </c>
    </row>
    <row r="1388" spans="30:34">
      <c r="AD1388" s="10" t="s">
        <v>53</v>
      </c>
      <c r="AE1388" s="11">
        <v>43024</v>
      </c>
      <c r="AF1388" s="12">
        <f t="shared" si="65"/>
        <v>2</v>
      </c>
      <c r="AG1388" s="11">
        <f t="shared" si="67"/>
        <v>43028</v>
      </c>
      <c r="AH1388" s="11">
        <f t="shared" si="66"/>
        <v>43032</v>
      </c>
    </row>
    <row r="1389" spans="30:34">
      <c r="AD1389" s="10" t="s">
        <v>54</v>
      </c>
      <c r="AE1389" s="11">
        <v>43025</v>
      </c>
      <c r="AF1389" s="12">
        <f t="shared" si="65"/>
        <v>3</v>
      </c>
      <c r="AG1389" s="11">
        <f t="shared" si="67"/>
        <v>43031</v>
      </c>
      <c r="AH1389" s="11">
        <f t="shared" si="66"/>
        <v>43033</v>
      </c>
    </row>
    <row r="1390" spans="30:34">
      <c r="AD1390" s="10" t="s">
        <v>55</v>
      </c>
      <c r="AE1390" s="11">
        <v>43026</v>
      </c>
      <c r="AF1390" s="12">
        <f t="shared" si="65"/>
        <v>4</v>
      </c>
      <c r="AG1390" s="11">
        <f t="shared" si="67"/>
        <v>43031</v>
      </c>
      <c r="AH1390" s="11">
        <f t="shared" si="66"/>
        <v>43033</v>
      </c>
    </row>
    <row r="1391" spans="30:34">
      <c r="AD1391" s="10" t="s">
        <v>56</v>
      </c>
      <c r="AE1391" s="11">
        <v>43027</v>
      </c>
      <c r="AF1391" s="12">
        <f t="shared" si="65"/>
        <v>5</v>
      </c>
      <c r="AG1391" s="11">
        <f t="shared" si="67"/>
        <v>43032</v>
      </c>
      <c r="AH1391" s="11">
        <f t="shared" si="66"/>
        <v>43034</v>
      </c>
    </row>
    <row r="1392" spans="30:34">
      <c r="AD1392" s="10" t="s">
        <v>57</v>
      </c>
      <c r="AE1392" s="11">
        <v>43028</v>
      </c>
      <c r="AF1392" s="12">
        <f t="shared" si="65"/>
        <v>6</v>
      </c>
      <c r="AG1392" s="11">
        <f t="shared" si="67"/>
        <v>43033</v>
      </c>
      <c r="AH1392" s="11">
        <f t="shared" si="66"/>
        <v>43035</v>
      </c>
    </row>
    <row r="1393" spans="30:34">
      <c r="AD1393" s="10" t="s">
        <v>58</v>
      </c>
      <c r="AE1393" s="11">
        <v>43029</v>
      </c>
      <c r="AF1393" s="12">
        <f t="shared" si="65"/>
        <v>7</v>
      </c>
      <c r="AG1393" s="11">
        <f t="shared" si="67"/>
        <v>43034</v>
      </c>
      <c r="AH1393" s="11">
        <f t="shared" si="66"/>
        <v>43038</v>
      </c>
    </row>
    <row r="1394" spans="30:34">
      <c r="AD1394" s="10" t="s">
        <v>52</v>
      </c>
      <c r="AE1394" s="11">
        <v>43030</v>
      </c>
      <c r="AF1394" s="12">
        <f t="shared" si="65"/>
        <v>1</v>
      </c>
      <c r="AG1394" s="11">
        <f t="shared" si="67"/>
        <v>43034</v>
      </c>
      <c r="AH1394" s="11">
        <f t="shared" si="66"/>
        <v>43038</v>
      </c>
    </row>
    <row r="1395" spans="30:34">
      <c r="AD1395" s="10" t="s">
        <v>53</v>
      </c>
      <c r="AE1395" s="11">
        <v>43031</v>
      </c>
      <c r="AF1395" s="12">
        <f t="shared" si="65"/>
        <v>2</v>
      </c>
      <c r="AG1395" s="11">
        <f t="shared" si="67"/>
        <v>43035</v>
      </c>
      <c r="AH1395" s="11">
        <f t="shared" si="66"/>
        <v>43039</v>
      </c>
    </row>
    <row r="1396" spans="30:34">
      <c r="AD1396" s="10" t="s">
        <v>54</v>
      </c>
      <c r="AE1396" s="11">
        <v>43032</v>
      </c>
      <c r="AF1396" s="12">
        <f t="shared" si="65"/>
        <v>3</v>
      </c>
      <c r="AG1396" s="11">
        <f t="shared" si="67"/>
        <v>43038</v>
      </c>
      <c r="AH1396" s="11">
        <f t="shared" si="66"/>
        <v>43040</v>
      </c>
    </row>
    <row r="1397" spans="30:34">
      <c r="AD1397" s="10" t="s">
        <v>55</v>
      </c>
      <c r="AE1397" s="11">
        <v>43033</v>
      </c>
      <c r="AF1397" s="12">
        <f t="shared" si="65"/>
        <v>4</v>
      </c>
      <c r="AG1397" s="11">
        <f t="shared" si="67"/>
        <v>43038</v>
      </c>
      <c r="AH1397" s="11">
        <f t="shared" si="66"/>
        <v>43040</v>
      </c>
    </row>
    <row r="1398" spans="30:34">
      <c r="AD1398" s="10" t="s">
        <v>56</v>
      </c>
      <c r="AE1398" s="11">
        <v>43034</v>
      </c>
      <c r="AF1398" s="12">
        <f t="shared" si="65"/>
        <v>5</v>
      </c>
      <c r="AG1398" s="11">
        <f t="shared" si="67"/>
        <v>43039</v>
      </c>
      <c r="AH1398" s="11">
        <f t="shared" si="66"/>
        <v>43041</v>
      </c>
    </row>
    <row r="1399" spans="30:34">
      <c r="AD1399" s="10" t="s">
        <v>57</v>
      </c>
      <c r="AE1399" s="11">
        <v>43035</v>
      </c>
      <c r="AF1399" s="12">
        <f t="shared" si="65"/>
        <v>6</v>
      </c>
      <c r="AG1399" s="11">
        <f t="shared" si="67"/>
        <v>43040</v>
      </c>
      <c r="AH1399" s="11">
        <f t="shared" si="66"/>
        <v>43042</v>
      </c>
    </row>
    <row r="1400" spans="30:34">
      <c r="AD1400" s="10" t="s">
        <v>58</v>
      </c>
      <c r="AE1400" s="11">
        <v>43036</v>
      </c>
      <c r="AF1400" s="12">
        <f t="shared" si="65"/>
        <v>7</v>
      </c>
      <c r="AG1400" s="11">
        <f t="shared" si="67"/>
        <v>43041</v>
      </c>
      <c r="AH1400" s="11">
        <f t="shared" si="66"/>
        <v>43045</v>
      </c>
    </row>
    <row r="1401" spans="30:34">
      <c r="AD1401" s="10" t="s">
        <v>52</v>
      </c>
      <c r="AE1401" s="11">
        <v>43037</v>
      </c>
      <c r="AF1401" s="12">
        <f t="shared" si="65"/>
        <v>1</v>
      </c>
      <c r="AG1401" s="11">
        <f t="shared" si="67"/>
        <v>43041</v>
      </c>
      <c r="AH1401" s="11">
        <f t="shared" si="66"/>
        <v>43045</v>
      </c>
    </row>
    <row r="1402" spans="30:34">
      <c r="AD1402" s="10" t="s">
        <v>53</v>
      </c>
      <c r="AE1402" s="11">
        <v>43038</v>
      </c>
      <c r="AF1402" s="12">
        <f t="shared" si="65"/>
        <v>2</v>
      </c>
      <c r="AG1402" s="11">
        <f t="shared" si="67"/>
        <v>43042</v>
      </c>
      <c r="AH1402" s="11">
        <f t="shared" si="66"/>
        <v>43046</v>
      </c>
    </row>
    <row r="1403" spans="30:34">
      <c r="AD1403" s="10" t="s">
        <v>54</v>
      </c>
      <c r="AE1403" s="11">
        <v>43039</v>
      </c>
      <c r="AF1403" s="12">
        <f t="shared" si="65"/>
        <v>3</v>
      </c>
      <c r="AG1403" s="11">
        <f t="shared" si="67"/>
        <v>43045</v>
      </c>
      <c r="AH1403" s="11">
        <f t="shared" si="66"/>
        <v>43047</v>
      </c>
    </row>
    <row r="1404" spans="30:34">
      <c r="AD1404" s="10" t="s">
        <v>55</v>
      </c>
      <c r="AE1404" s="11">
        <v>43040</v>
      </c>
      <c r="AF1404" s="12">
        <f t="shared" si="65"/>
        <v>4</v>
      </c>
      <c r="AG1404" s="11">
        <f t="shared" si="67"/>
        <v>43045</v>
      </c>
      <c r="AH1404" s="11">
        <f t="shared" si="66"/>
        <v>43047</v>
      </c>
    </row>
    <row r="1405" spans="30:34">
      <c r="AD1405" s="10" t="s">
        <v>56</v>
      </c>
      <c r="AE1405" s="11">
        <v>43041</v>
      </c>
      <c r="AF1405" s="12">
        <f t="shared" si="65"/>
        <v>5</v>
      </c>
      <c r="AG1405" s="11">
        <f t="shared" si="67"/>
        <v>43046</v>
      </c>
      <c r="AH1405" s="11">
        <f t="shared" si="66"/>
        <v>43048</v>
      </c>
    </row>
    <row r="1406" spans="30:34">
      <c r="AD1406" s="10" t="s">
        <v>57</v>
      </c>
      <c r="AE1406" s="11">
        <v>43042</v>
      </c>
      <c r="AF1406" s="12">
        <f t="shared" si="65"/>
        <v>6</v>
      </c>
      <c r="AG1406" s="11">
        <f t="shared" si="67"/>
        <v>43047</v>
      </c>
      <c r="AH1406" s="11">
        <f t="shared" si="66"/>
        <v>43049</v>
      </c>
    </row>
    <row r="1407" spans="30:34">
      <c r="AD1407" s="10" t="s">
        <v>58</v>
      </c>
      <c r="AE1407" s="11">
        <v>43043</v>
      </c>
      <c r="AF1407" s="12">
        <f t="shared" si="65"/>
        <v>7</v>
      </c>
      <c r="AG1407" s="11">
        <f t="shared" si="67"/>
        <v>43048</v>
      </c>
      <c r="AH1407" s="11">
        <f t="shared" si="66"/>
        <v>43052</v>
      </c>
    </row>
    <row r="1408" spans="30:34">
      <c r="AD1408" s="10" t="s">
        <v>52</v>
      </c>
      <c r="AE1408" s="11">
        <v>43044</v>
      </c>
      <c r="AF1408" s="12">
        <f t="shared" si="65"/>
        <v>1</v>
      </c>
      <c r="AG1408" s="11">
        <f t="shared" si="67"/>
        <v>43048</v>
      </c>
      <c r="AH1408" s="11">
        <f t="shared" si="66"/>
        <v>43052</v>
      </c>
    </row>
    <row r="1409" spans="30:34">
      <c r="AD1409" s="10" t="s">
        <v>53</v>
      </c>
      <c r="AE1409" s="11">
        <v>43045</v>
      </c>
      <c r="AF1409" s="12">
        <f t="shared" si="65"/>
        <v>2</v>
      </c>
      <c r="AG1409" s="11">
        <f t="shared" si="67"/>
        <v>43049</v>
      </c>
      <c r="AH1409" s="11">
        <f t="shared" si="66"/>
        <v>43053</v>
      </c>
    </row>
    <row r="1410" spans="30:34">
      <c r="AD1410" s="10" t="s">
        <v>54</v>
      </c>
      <c r="AE1410" s="11">
        <v>43046</v>
      </c>
      <c r="AF1410" s="12">
        <f t="shared" si="65"/>
        <v>3</v>
      </c>
      <c r="AG1410" s="11">
        <f t="shared" si="67"/>
        <v>43052</v>
      </c>
      <c r="AH1410" s="11">
        <f t="shared" si="66"/>
        <v>43054</v>
      </c>
    </row>
    <row r="1411" spans="30:34">
      <c r="AD1411" s="10" t="s">
        <v>55</v>
      </c>
      <c r="AE1411" s="11">
        <v>43047</v>
      </c>
      <c r="AF1411" s="12">
        <f t="shared" si="65"/>
        <v>4</v>
      </c>
      <c r="AG1411" s="11">
        <f>AE1412+(VLOOKUP(AF1412, $AJ$4:$AK$10, 2, FALSE))</f>
        <v>43053</v>
      </c>
      <c r="AH1411" s="11">
        <f t="shared" si="66"/>
        <v>43055</v>
      </c>
    </row>
    <row r="1412" spans="30:34">
      <c r="AD1412" s="10" t="s">
        <v>56</v>
      </c>
      <c r="AE1412" s="11">
        <v>43048</v>
      </c>
      <c r="AF1412" s="12">
        <f t="shared" si="65"/>
        <v>5</v>
      </c>
      <c r="AG1412" s="11">
        <f>AE1413+(VLOOKUP(AF1413, $AJ$4:$AK$10, 2, FALSE))</f>
        <v>43054</v>
      </c>
      <c r="AH1412" s="11">
        <f t="shared" si="66"/>
        <v>43056</v>
      </c>
    </row>
    <row r="1413" spans="30:34">
      <c r="AD1413" s="10" t="s">
        <v>57</v>
      </c>
      <c r="AE1413" s="11">
        <v>43049</v>
      </c>
      <c r="AF1413" s="12">
        <f t="shared" ref="AF1413:AF1476" si="68">WEEKDAY(AE1413)</f>
        <v>6</v>
      </c>
      <c r="AG1413" s="11">
        <f>AE1414+(VLOOKUP(AF1414, $AJ$4:$AK$10, 2, FALSE))</f>
        <v>43055</v>
      </c>
      <c r="AH1413" s="11">
        <f t="shared" ref="AH1413:AH1476" si="69">IFERROR((WORKDAY(AG1413, 2, AC$4:AC$53)), "")</f>
        <v>43059</v>
      </c>
    </row>
    <row r="1414" spans="30:34">
      <c r="AD1414" s="10" t="s">
        <v>58</v>
      </c>
      <c r="AE1414" s="11">
        <v>43050</v>
      </c>
      <c r="AF1414" s="12">
        <f t="shared" si="68"/>
        <v>7</v>
      </c>
      <c r="AG1414" s="11">
        <f>AE1415+(VLOOKUP(AF1415, $AJ$4:$AK$10, 2, FALSE))</f>
        <v>43055</v>
      </c>
      <c r="AH1414" s="11">
        <f t="shared" si="69"/>
        <v>43059</v>
      </c>
    </row>
    <row r="1415" spans="30:34">
      <c r="AD1415" s="10" t="s">
        <v>52</v>
      </c>
      <c r="AE1415" s="11">
        <v>43051</v>
      </c>
      <c r="AF1415" s="12">
        <f t="shared" si="68"/>
        <v>1</v>
      </c>
      <c r="AG1415" s="11">
        <f t="shared" si="67"/>
        <v>43055</v>
      </c>
      <c r="AH1415" s="11">
        <f t="shared" si="69"/>
        <v>43059</v>
      </c>
    </row>
    <row r="1416" spans="30:34">
      <c r="AD1416" s="10" t="s">
        <v>53</v>
      </c>
      <c r="AE1416" s="11">
        <v>43052</v>
      </c>
      <c r="AF1416" s="12">
        <f t="shared" si="68"/>
        <v>2</v>
      </c>
      <c r="AG1416" s="11">
        <f t="shared" si="67"/>
        <v>43056</v>
      </c>
      <c r="AH1416" s="11">
        <f t="shared" si="69"/>
        <v>43060</v>
      </c>
    </row>
    <row r="1417" spans="30:34">
      <c r="AD1417" s="10" t="s">
        <v>54</v>
      </c>
      <c r="AE1417" s="11">
        <v>43053</v>
      </c>
      <c r="AF1417" s="12">
        <f t="shared" si="68"/>
        <v>3</v>
      </c>
      <c r="AG1417" s="11">
        <f t="shared" si="67"/>
        <v>43059</v>
      </c>
      <c r="AH1417" s="11">
        <f t="shared" si="69"/>
        <v>43061</v>
      </c>
    </row>
    <row r="1418" spans="30:34">
      <c r="AD1418" s="10" t="s">
        <v>55</v>
      </c>
      <c r="AE1418" s="11">
        <v>43054</v>
      </c>
      <c r="AF1418" s="12">
        <f t="shared" si="68"/>
        <v>4</v>
      </c>
      <c r="AG1418" s="11">
        <f t="shared" si="67"/>
        <v>43059</v>
      </c>
      <c r="AH1418" s="11">
        <f t="shared" si="69"/>
        <v>43061</v>
      </c>
    </row>
    <row r="1419" spans="30:34">
      <c r="AD1419" s="10" t="s">
        <v>56</v>
      </c>
      <c r="AE1419" s="11">
        <v>43055</v>
      </c>
      <c r="AF1419" s="12">
        <f t="shared" si="68"/>
        <v>5</v>
      </c>
      <c r="AG1419" s="11">
        <f t="shared" si="67"/>
        <v>43060</v>
      </c>
      <c r="AH1419" s="11">
        <f t="shared" si="69"/>
        <v>43063</v>
      </c>
    </row>
    <row r="1420" spans="30:34">
      <c r="AD1420" s="10" t="s">
        <v>57</v>
      </c>
      <c r="AE1420" s="11">
        <v>43056</v>
      </c>
      <c r="AF1420" s="12">
        <f t="shared" si="68"/>
        <v>6</v>
      </c>
      <c r="AG1420" s="11">
        <f t="shared" si="67"/>
        <v>43061</v>
      </c>
      <c r="AH1420" s="11">
        <f t="shared" si="69"/>
        <v>43066</v>
      </c>
    </row>
    <row r="1421" spans="30:34">
      <c r="AD1421" s="10" t="s">
        <v>58</v>
      </c>
      <c r="AE1421" s="11">
        <v>43057</v>
      </c>
      <c r="AF1421" s="12">
        <f t="shared" si="68"/>
        <v>7</v>
      </c>
      <c r="AG1421" s="11">
        <v>43063</v>
      </c>
      <c r="AH1421" s="11">
        <f t="shared" si="69"/>
        <v>43067</v>
      </c>
    </row>
    <row r="1422" spans="30:34">
      <c r="AD1422" s="10" t="s">
        <v>52</v>
      </c>
      <c r="AE1422" s="11">
        <v>43058</v>
      </c>
      <c r="AF1422" s="12">
        <f t="shared" si="68"/>
        <v>1</v>
      </c>
      <c r="AG1422" s="11">
        <v>43063</v>
      </c>
      <c r="AH1422" s="11">
        <f t="shared" si="69"/>
        <v>43067</v>
      </c>
    </row>
    <row r="1423" spans="30:34">
      <c r="AD1423" s="10" t="s">
        <v>53</v>
      </c>
      <c r="AE1423" s="11">
        <v>43059</v>
      </c>
      <c r="AF1423" s="12">
        <f t="shared" si="68"/>
        <v>2</v>
      </c>
      <c r="AG1423" s="11">
        <v>43066</v>
      </c>
      <c r="AH1423" s="11">
        <f t="shared" si="69"/>
        <v>43068</v>
      </c>
    </row>
    <row r="1424" spans="30:34">
      <c r="AD1424" s="10" t="s">
        <v>54</v>
      </c>
      <c r="AE1424" s="11">
        <v>43060</v>
      </c>
      <c r="AF1424" s="12">
        <f t="shared" si="68"/>
        <v>3</v>
      </c>
      <c r="AG1424" s="11">
        <f t="shared" si="67"/>
        <v>43066</v>
      </c>
      <c r="AH1424" s="11">
        <f t="shared" si="69"/>
        <v>43068</v>
      </c>
    </row>
    <row r="1425" spans="30:34">
      <c r="AD1425" s="10" t="s">
        <v>55</v>
      </c>
      <c r="AE1425" s="11">
        <v>43061</v>
      </c>
      <c r="AF1425" s="12">
        <f t="shared" si="68"/>
        <v>4</v>
      </c>
      <c r="AG1425" s="11">
        <v>43067</v>
      </c>
      <c r="AH1425" s="11">
        <f t="shared" si="69"/>
        <v>43069</v>
      </c>
    </row>
    <row r="1426" spans="30:34">
      <c r="AD1426" s="10" t="s">
        <v>56</v>
      </c>
      <c r="AE1426" s="11">
        <v>43062</v>
      </c>
      <c r="AF1426" s="12">
        <f t="shared" si="68"/>
        <v>5</v>
      </c>
      <c r="AG1426" s="11">
        <f t="shared" si="67"/>
        <v>43067</v>
      </c>
      <c r="AH1426" s="11">
        <f t="shared" si="69"/>
        <v>43069</v>
      </c>
    </row>
    <row r="1427" spans="30:34">
      <c r="AD1427" s="10" t="s">
        <v>57</v>
      </c>
      <c r="AE1427" s="11">
        <v>43063</v>
      </c>
      <c r="AF1427" s="12">
        <f t="shared" si="68"/>
        <v>6</v>
      </c>
      <c r="AG1427" s="11">
        <f t="shared" si="67"/>
        <v>43068</v>
      </c>
      <c r="AH1427" s="11">
        <f t="shared" si="69"/>
        <v>43070</v>
      </c>
    </row>
    <row r="1428" spans="30:34">
      <c r="AD1428" s="10" t="s">
        <v>58</v>
      </c>
      <c r="AE1428" s="11">
        <v>43064</v>
      </c>
      <c r="AF1428" s="12">
        <f t="shared" si="68"/>
        <v>7</v>
      </c>
      <c r="AG1428" s="11">
        <f t="shared" si="67"/>
        <v>43069</v>
      </c>
      <c r="AH1428" s="11">
        <f t="shared" si="69"/>
        <v>43073</v>
      </c>
    </row>
    <row r="1429" spans="30:34">
      <c r="AD1429" s="10" t="s">
        <v>52</v>
      </c>
      <c r="AE1429" s="11">
        <v>43065</v>
      </c>
      <c r="AF1429" s="12">
        <f t="shared" si="68"/>
        <v>1</v>
      </c>
      <c r="AG1429" s="11">
        <f t="shared" si="67"/>
        <v>43069</v>
      </c>
      <c r="AH1429" s="11">
        <f t="shared" si="69"/>
        <v>43073</v>
      </c>
    </row>
    <row r="1430" spans="30:34">
      <c r="AD1430" s="10" t="s">
        <v>53</v>
      </c>
      <c r="AE1430" s="11">
        <v>43066</v>
      </c>
      <c r="AF1430" s="12">
        <f t="shared" si="68"/>
        <v>2</v>
      </c>
      <c r="AG1430" s="11">
        <f t="shared" si="67"/>
        <v>43070</v>
      </c>
      <c r="AH1430" s="11">
        <f t="shared" si="69"/>
        <v>43074</v>
      </c>
    </row>
    <row r="1431" spans="30:34">
      <c r="AD1431" s="10" t="s">
        <v>54</v>
      </c>
      <c r="AE1431" s="11">
        <v>43067</v>
      </c>
      <c r="AF1431" s="12">
        <f t="shared" si="68"/>
        <v>3</v>
      </c>
      <c r="AG1431" s="11">
        <f t="shared" si="67"/>
        <v>43073</v>
      </c>
      <c r="AH1431" s="11">
        <f t="shared" si="69"/>
        <v>43075</v>
      </c>
    </row>
    <row r="1432" spans="30:34">
      <c r="AD1432" s="10" t="s">
        <v>55</v>
      </c>
      <c r="AE1432" s="11">
        <v>43068</v>
      </c>
      <c r="AF1432" s="12">
        <f t="shared" si="68"/>
        <v>4</v>
      </c>
      <c r="AG1432" s="11">
        <f t="shared" si="67"/>
        <v>43073</v>
      </c>
      <c r="AH1432" s="11">
        <f t="shared" si="69"/>
        <v>43075</v>
      </c>
    </row>
    <row r="1433" spans="30:34">
      <c r="AD1433" s="10" t="s">
        <v>56</v>
      </c>
      <c r="AE1433" s="11">
        <v>43069</v>
      </c>
      <c r="AF1433" s="12">
        <f t="shared" si="68"/>
        <v>5</v>
      </c>
      <c r="AG1433" s="11">
        <f t="shared" si="67"/>
        <v>43074</v>
      </c>
      <c r="AH1433" s="11">
        <f t="shared" si="69"/>
        <v>43076</v>
      </c>
    </row>
    <row r="1434" spans="30:34">
      <c r="AD1434" s="10" t="s">
        <v>57</v>
      </c>
      <c r="AE1434" s="11">
        <v>43070</v>
      </c>
      <c r="AF1434" s="12">
        <f t="shared" si="68"/>
        <v>6</v>
      </c>
      <c r="AG1434" s="11">
        <f t="shared" si="67"/>
        <v>43075</v>
      </c>
      <c r="AH1434" s="11">
        <f t="shared" si="69"/>
        <v>43077</v>
      </c>
    </row>
    <row r="1435" spans="30:34">
      <c r="AD1435" s="10" t="s">
        <v>58</v>
      </c>
      <c r="AE1435" s="11">
        <v>43071</v>
      </c>
      <c r="AF1435" s="12">
        <f t="shared" si="68"/>
        <v>7</v>
      </c>
      <c r="AG1435" s="11">
        <f t="shared" si="67"/>
        <v>43076</v>
      </c>
      <c r="AH1435" s="11">
        <f t="shared" si="69"/>
        <v>43080</v>
      </c>
    </row>
    <row r="1436" spans="30:34">
      <c r="AD1436" s="10" t="s">
        <v>52</v>
      </c>
      <c r="AE1436" s="11">
        <v>43072</v>
      </c>
      <c r="AF1436" s="12">
        <f t="shared" si="68"/>
        <v>1</v>
      </c>
      <c r="AG1436" s="11">
        <f t="shared" si="67"/>
        <v>43076</v>
      </c>
      <c r="AH1436" s="11">
        <f t="shared" si="69"/>
        <v>43080</v>
      </c>
    </row>
    <row r="1437" spans="30:34">
      <c r="AD1437" s="10" t="s">
        <v>53</v>
      </c>
      <c r="AE1437" s="11">
        <v>43073</v>
      </c>
      <c r="AF1437" s="12">
        <f t="shared" si="68"/>
        <v>2</v>
      </c>
      <c r="AG1437" s="11">
        <f t="shared" si="67"/>
        <v>43077</v>
      </c>
      <c r="AH1437" s="11">
        <f t="shared" si="69"/>
        <v>43081</v>
      </c>
    </row>
    <row r="1438" spans="30:34">
      <c r="AD1438" s="10" t="s">
        <v>54</v>
      </c>
      <c r="AE1438" s="11">
        <v>43074</v>
      </c>
      <c r="AF1438" s="12">
        <f t="shared" si="68"/>
        <v>3</v>
      </c>
      <c r="AG1438" s="11">
        <f t="shared" ref="AG1438:AG1501" si="70">AE1438+(VLOOKUP(AF1438, $AJ$4:$AK$10, 2, FALSE))</f>
        <v>43080</v>
      </c>
      <c r="AH1438" s="11">
        <f t="shared" si="69"/>
        <v>43082</v>
      </c>
    </row>
    <row r="1439" spans="30:34">
      <c r="AD1439" s="10" t="s">
        <v>55</v>
      </c>
      <c r="AE1439" s="11">
        <v>43075</v>
      </c>
      <c r="AF1439" s="12">
        <f t="shared" si="68"/>
        <v>4</v>
      </c>
      <c r="AG1439" s="11">
        <f t="shared" si="70"/>
        <v>43080</v>
      </c>
      <c r="AH1439" s="11">
        <f t="shared" si="69"/>
        <v>43082</v>
      </c>
    </row>
    <row r="1440" spans="30:34">
      <c r="AD1440" s="10" t="s">
        <v>56</v>
      </c>
      <c r="AE1440" s="11">
        <v>43076</v>
      </c>
      <c r="AF1440" s="12">
        <f t="shared" si="68"/>
        <v>5</v>
      </c>
      <c r="AG1440" s="11">
        <f t="shared" si="70"/>
        <v>43081</v>
      </c>
      <c r="AH1440" s="11">
        <f t="shared" si="69"/>
        <v>43083</v>
      </c>
    </row>
    <row r="1441" spans="29:34">
      <c r="AD1441" s="10" t="s">
        <v>57</v>
      </c>
      <c r="AE1441" s="11">
        <v>43077</v>
      </c>
      <c r="AF1441" s="12">
        <f t="shared" si="68"/>
        <v>6</v>
      </c>
      <c r="AG1441" s="11">
        <f t="shared" si="70"/>
        <v>43082</v>
      </c>
      <c r="AH1441" s="11">
        <f t="shared" si="69"/>
        <v>43084</v>
      </c>
    </row>
    <row r="1442" spans="29:34">
      <c r="AD1442" s="10" t="s">
        <v>58</v>
      </c>
      <c r="AE1442" s="11">
        <v>43078</v>
      </c>
      <c r="AF1442" s="12">
        <f t="shared" si="68"/>
        <v>7</v>
      </c>
      <c r="AG1442" s="11">
        <f t="shared" si="70"/>
        <v>43083</v>
      </c>
      <c r="AH1442" s="11">
        <f t="shared" si="69"/>
        <v>43087</v>
      </c>
    </row>
    <row r="1443" spans="29:34">
      <c r="AD1443" s="10" t="s">
        <v>52</v>
      </c>
      <c r="AE1443" s="11">
        <v>43079</v>
      </c>
      <c r="AF1443" s="12">
        <f t="shared" si="68"/>
        <v>1</v>
      </c>
      <c r="AG1443" s="11">
        <f t="shared" si="70"/>
        <v>43083</v>
      </c>
      <c r="AH1443" s="11">
        <f t="shared" si="69"/>
        <v>43087</v>
      </c>
    </row>
    <row r="1444" spans="29:34">
      <c r="AD1444" s="10" t="s">
        <v>53</v>
      </c>
      <c r="AE1444" s="11">
        <v>43080</v>
      </c>
      <c r="AF1444" s="12">
        <f t="shared" si="68"/>
        <v>2</v>
      </c>
      <c r="AG1444" s="11">
        <f t="shared" si="70"/>
        <v>43084</v>
      </c>
      <c r="AH1444" s="11">
        <f t="shared" si="69"/>
        <v>43088</v>
      </c>
    </row>
    <row r="1445" spans="29:34">
      <c r="AD1445" s="10" t="s">
        <v>54</v>
      </c>
      <c r="AE1445" s="11">
        <v>43081</v>
      </c>
      <c r="AF1445" s="12">
        <f t="shared" si="68"/>
        <v>3</v>
      </c>
      <c r="AG1445" s="11">
        <f t="shared" si="70"/>
        <v>43087</v>
      </c>
      <c r="AH1445" s="11">
        <f t="shared" si="69"/>
        <v>43089</v>
      </c>
    </row>
    <row r="1446" spans="29:34">
      <c r="AD1446" s="10" t="s">
        <v>55</v>
      </c>
      <c r="AE1446" s="11">
        <v>43082</v>
      </c>
      <c r="AF1446" s="12">
        <f t="shared" si="68"/>
        <v>4</v>
      </c>
      <c r="AG1446" s="11">
        <f t="shared" si="70"/>
        <v>43087</v>
      </c>
      <c r="AH1446" s="11">
        <f t="shared" si="69"/>
        <v>43089</v>
      </c>
    </row>
    <row r="1447" spans="29:34">
      <c r="AD1447" s="10" t="s">
        <v>56</v>
      </c>
      <c r="AE1447" s="11">
        <v>43083</v>
      </c>
      <c r="AF1447" s="12">
        <f t="shared" si="68"/>
        <v>5</v>
      </c>
      <c r="AG1447" s="11">
        <f t="shared" si="70"/>
        <v>43088</v>
      </c>
      <c r="AH1447" s="11">
        <f t="shared" si="69"/>
        <v>43090</v>
      </c>
    </row>
    <row r="1448" spans="29:34">
      <c r="AD1448" s="10" t="s">
        <v>57</v>
      </c>
      <c r="AE1448" s="11">
        <v>43084</v>
      </c>
      <c r="AF1448" s="12">
        <f t="shared" si="68"/>
        <v>6</v>
      </c>
      <c r="AG1448" s="11">
        <f t="shared" si="70"/>
        <v>43089</v>
      </c>
      <c r="AH1448" s="11">
        <f t="shared" si="69"/>
        <v>43091</v>
      </c>
    </row>
    <row r="1449" spans="29:34">
      <c r="AD1449" s="10" t="s">
        <v>58</v>
      </c>
      <c r="AE1449" s="11">
        <v>43085</v>
      </c>
      <c r="AF1449" s="12">
        <f t="shared" si="68"/>
        <v>7</v>
      </c>
      <c r="AG1449" s="11">
        <f t="shared" si="70"/>
        <v>43090</v>
      </c>
      <c r="AH1449" s="11">
        <f t="shared" si="69"/>
        <v>43095</v>
      </c>
    </row>
    <row r="1450" spans="29:34">
      <c r="AD1450" s="10" t="s">
        <v>52</v>
      </c>
      <c r="AE1450" s="11">
        <v>43086</v>
      </c>
      <c r="AF1450" s="12">
        <f t="shared" si="68"/>
        <v>1</v>
      </c>
      <c r="AG1450" s="11">
        <f t="shared" si="70"/>
        <v>43090</v>
      </c>
      <c r="AH1450" s="11">
        <f t="shared" si="69"/>
        <v>43095</v>
      </c>
    </row>
    <row r="1451" spans="29:34">
      <c r="AD1451" s="10" t="s">
        <v>53</v>
      </c>
      <c r="AE1451" s="11">
        <v>43087</v>
      </c>
      <c r="AF1451" s="12">
        <f t="shared" si="68"/>
        <v>2</v>
      </c>
      <c r="AG1451" s="11">
        <f t="shared" si="70"/>
        <v>43091</v>
      </c>
      <c r="AH1451" s="11">
        <f t="shared" si="69"/>
        <v>43096</v>
      </c>
    </row>
    <row r="1452" spans="29:34">
      <c r="AC1452" s="11" t="s">
        <v>51</v>
      </c>
      <c r="AD1452" s="10" t="s">
        <v>54</v>
      </c>
      <c r="AE1452" s="11">
        <v>43088</v>
      </c>
      <c r="AF1452" s="12">
        <f t="shared" si="68"/>
        <v>3</v>
      </c>
      <c r="AG1452" s="11">
        <f>AE1454+(VLOOKUP(AF1454, $AJ$4:$AK$10, 2, FALSE))</f>
        <v>43095</v>
      </c>
      <c r="AH1452" s="11">
        <f t="shared" si="69"/>
        <v>43097</v>
      </c>
    </row>
    <row r="1453" spans="29:34">
      <c r="AD1453" s="10" t="s">
        <v>55</v>
      </c>
      <c r="AE1453" s="11">
        <v>43089</v>
      </c>
      <c r="AF1453" s="12">
        <f t="shared" si="68"/>
        <v>4</v>
      </c>
      <c r="AG1453" s="11">
        <v>43095</v>
      </c>
      <c r="AH1453" s="11">
        <f t="shared" si="69"/>
        <v>43097</v>
      </c>
    </row>
    <row r="1454" spans="29:34">
      <c r="AD1454" s="10" t="s">
        <v>56</v>
      </c>
      <c r="AE1454" s="11">
        <v>43090</v>
      </c>
      <c r="AF1454" s="12">
        <f t="shared" si="68"/>
        <v>5</v>
      </c>
      <c r="AG1454" s="11">
        <f>AE1455+(VLOOKUP(AF1455, $AJ$4:$AK$10, 2, FALSE))</f>
        <v>43096</v>
      </c>
      <c r="AH1454" s="11">
        <f t="shared" si="69"/>
        <v>43098</v>
      </c>
    </row>
    <row r="1455" spans="29:34">
      <c r="AD1455" s="10" t="s">
        <v>57</v>
      </c>
      <c r="AE1455" s="11">
        <v>43091</v>
      </c>
      <c r="AF1455" s="12">
        <f t="shared" si="68"/>
        <v>6</v>
      </c>
      <c r="AG1455" s="11">
        <f>AE1456+(VLOOKUP(AF1456, $AJ$4:$AK$10, 2, FALSE))</f>
        <v>43097</v>
      </c>
      <c r="AH1455" s="11">
        <f t="shared" si="69"/>
        <v>43102</v>
      </c>
    </row>
    <row r="1456" spans="29:34">
      <c r="AD1456" s="10" t="s">
        <v>58</v>
      </c>
      <c r="AE1456" s="11">
        <v>43092</v>
      </c>
      <c r="AF1456" s="12">
        <f t="shared" si="68"/>
        <v>7</v>
      </c>
      <c r="AG1456" s="11">
        <v>43098</v>
      </c>
      <c r="AH1456" s="11">
        <f t="shared" si="69"/>
        <v>43103</v>
      </c>
    </row>
    <row r="1457" spans="30:34">
      <c r="AD1457" s="10" t="s">
        <v>52</v>
      </c>
      <c r="AE1457" s="11">
        <v>43093</v>
      </c>
      <c r="AF1457" s="12">
        <f t="shared" si="68"/>
        <v>1</v>
      </c>
      <c r="AG1457" s="11">
        <v>43098</v>
      </c>
      <c r="AH1457" s="11">
        <f t="shared" si="69"/>
        <v>43103</v>
      </c>
    </row>
    <row r="1458" spans="30:34">
      <c r="AD1458" s="10" t="s">
        <v>53</v>
      </c>
      <c r="AE1458" s="11">
        <v>43094</v>
      </c>
      <c r="AF1458" s="12">
        <f t="shared" si="68"/>
        <v>2</v>
      </c>
      <c r="AG1458" s="11">
        <f t="shared" si="70"/>
        <v>43098</v>
      </c>
      <c r="AH1458" s="11">
        <f t="shared" si="69"/>
        <v>43103</v>
      </c>
    </row>
    <row r="1459" spans="30:34">
      <c r="AD1459" s="10" t="s">
        <v>54</v>
      </c>
      <c r="AE1459" s="11">
        <v>43095</v>
      </c>
      <c r="AF1459" s="12">
        <f t="shared" si="68"/>
        <v>3</v>
      </c>
      <c r="AG1459" s="11">
        <f>AE1461+(VLOOKUP(AF1461, $AJ$4:$AK$10, 2, FALSE))</f>
        <v>43102</v>
      </c>
      <c r="AH1459" s="11">
        <f t="shared" si="69"/>
        <v>43104</v>
      </c>
    </row>
    <row r="1460" spans="30:34">
      <c r="AD1460" s="10" t="s">
        <v>55</v>
      </c>
      <c r="AE1460" s="11">
        <v>43096</v>
      </c>
      <c r="AF1460" s="12">
        <f t="shared" si="68"/>
        <v>4</v>
      </c>
      <c r="AG1460" s="11">
        <v>43102</v>
      </c>
      <c r="AH1460" s="11">
        <f t="shared" si="69"/>
        <v>43104</v>
      </c>
    </row>
    <row r="1461" spans="30:34">
      <c r="AD1461" s="10" t="s">
        <v>56</v>
      </c>
      <c r="AE1461" s="11">
        <v>43097</v>
      </c>
      <c r="AF1461" s="12">
        <f t="shared" si="68"/>
        <v>5</v>
      </c>
      <c r="AG1461" s="11">
        <f>AE1462+(VLOOKUP(AF1462, $AJ$4:$AK$10, 2, FALSE))</f>
        <v>43103</v>
      </c>
      <c r="AH1461" s="11">
        <f t="shared" si="69"/>
        <v>43105</v>
      </c>
    </row>
    <row r="1462" spans="30:34">
      <c r="AD1462" s="10" t="s">
        <v>57</v>
      </c>
      <c r="AE1462" s="11">
        <v>43098</v>
      </c>
      <c r="AF1462" s="12">
        <f t="shared" si="68"/>
        <v>6</v>
      </c>
      <c r="AG1462" s="11">
        <f>AE1463+(VLOOKUP(AF1463, $AJ$4:$AK$10, 2, FALSE))</f>
        <v>43104</v>
      </c>
      <c r="AH1462" s="11">
        <f t="shared" si="69"/>
        <v>43108</v>
      </c>
    </row>
    <row r="1463" spans="30:34">
      <c r="AD1463" s="10" t="s">
        <v>58</v>
      </c>
      <c r="AE1463" s="11">
        <v>43099</v>
      </c>
      <c r="AF1463" s="12">
        <f t="shared" si="68"/>
        <v>7</v>
      </c>
      <c r="AG1463" s="11">
        <f>AE1465+(VLOOKUP(AF1465, $AJ$4:$AK$10, 2, FALSE))</f>
        <v>43105</v>
      </c>
      <c r="AH1463" s="11">
        <f t="shared" si="69"/>
        <v>43109</v>
      </c>
    </row>
    <row r="1464" spans="30:34">
      <c r="AD1464" s="10" t="s">
        <v>52</v>
      </c>
      <c r="AE1464" s="11">
        <v>43100</v>
      </c>
      <c r="AF1464" s="12">
        <f t="shared" si="68"/>
        <v>1</v>
      </c>
      <c r="AG1464" s="11">
        <v>43105</v>
      </c>
      <c r="AH1464" s="11">
        <f t="shared" si="69"/>
        <v>43109</v>
      </c>
    </row>
    <row r="1465" spans="30:34">
      <c r="AD1465" s="10" t="s">
        <v>53</v>
      </c>
      <c r="AE1465" s="11">
        <v>43101</v>
      </c>
      <c r="AF1465" s="12">
        <f t="shared" si="68"/>
        <v>2</v>
      </c>
      <c r="AG1465" s="11">
        <v>43105</v>
      </c>
      <c r="AH1465" s="11">
        <f t="shared" si="69"/>
        <v>43109</v>
      </c>
    </row>
    <row r="1466" spans="30:34">
      <c r="AD1466" s="10" t="s">
        <v>54</v>
      </c>
      <c r="AE1466" s="11">
        <v>43102</v>
      </c>
      <c r="AF1466" s="12">
        <f t="shared" si="68"/>
        <v>3</v>
      </c>
      <c r="AG1466" s="11">
        <f t="shared" si="70"/>
        <v>43108</v>
      </c>
      <c r="AH1466" s="11">
        <f t="shared" si="69"/>
        <v>43110</v>
      </c>
    </row>
    <row r="1467" spans="30:34">
      <c r="AD1467" s="10" t="s">
        <v>55</v>
      </c>
      <c r="AE1467" s="11">
        <v>43103</v>
      </c>
      <c r="AF1467" s="12">
        <f t="shared" si="68"/>
        <v>4</v>
      </c>
      <c r="AG1467" s="11">
        <f t="shared" si="70"/>
        <v>43108</v>
      </c>
      <c r="AH1467" s="11">
        <f t="shared" si="69"/>
        <v>43110</v>
      </c>
    </row>
    <row r="1468" spans="30:34">
      <c r="AD1468" s="10" t="s">
        <v>56</v>
      </c>
      <c r="AE1468" s="11">
        <v>43104</v>
      </c>
      <c r="AF1468" s="12">
        <f t="shared" si="68"/>
        <v>5</v>
      </c>
      <c r="AG1468" s="11">
        <f t="shared" si="70"/>
        <v>43109</v>
      </c>
      <c r="AH1468" s="11">
        <f t="shared" si="69"/>
        <v>43111</v>
      </c>
    </row>
    <row r="1469" spans="30:34">
      <c r="AD1469" s="10" t="s">
        <v>57</v>
      </c>
      <c r="AE1469" s="11">
        <v>43105</v>
      </c>
      <c r="AF1469" s="12">
        <f t="shared" si="68"/>
        <v>6</v>
      </c>
      <c r="AG1469" s="11">
        <f t="shared" si="70"/>
        <v>43110</v>
      </c>
      <c r="AH1469" s="11">
        <f t="shared" si="69"/>
        <v>43112</v>
      </c>
    </row>
    <row r="1470" spans="30:34">
      <c r="AD1470" s="10" t="s">
        <v>58</v>
      </c>
      <c r="AE1470" s="11">
        <v>43106</v>
      </c>
      <c r="AF1470" s="12">
        <f t="shared" si="68"/>
        <v>7</v>
      </c>
      <c r="AG1470" s="11">
        <f t="shared" si="70"/>
        <v>43111</v>
      </c>
      <c r="AH1470" s="11">
        <f t="shared" si="69"/>
        <v>43116</v>
      </c>
    </row>
    <row r="1471" spans="30:34">
      <c r="AD1471" s="10" t="s">
        <v>52</v>
      </c>
      <c r="AE1471" s="11">
        <v>43107</v>
      </c>
      <c r="AF1471" s="12">
        <f t="shared" si="68"/>
        <v>1</v>
      </c>
      <c r="AG1471" s="11">
        <f t="shared" si="70"/>
        <v>43111</v>
      </c>
      <c r="AH1471" s="11">
        <f t="shared" si="69"/>
        <v>43116</v>
      </c>
    </row>
    <row r="1472" spans="30:34">
      <c r="AD1472" s="10" t="s">
        <v>53</v>
      </c>
      <c r="AE1472" s="11">
        <v>43108</v>
      </c>
      <c r="AF1472" s="12">
        <f t="shared" si="68"/>
        <v>2</v>
      </c>
      <c r="AG1472" s="11">
        <f t="shared" si="70"/>
        <v>43112</v>
      </c>
      <c r="AH1472" s="11">
        <f t="shared" si="69"/>
        <v>43117</v>
      </c>
    </row>
    <row r="1473" spans="29:34">
      <c r="AC1473" s="11" t="s">
        <v>51</v>
      </c>
      <c r="AD1473" s="10" t="s">
        <v>54</v>
      </c>
      <c r="AE1473" s="11">
        <v>43109</v>
      </c>
      <c r="AF1473" s="12">
        <f t="shared" si="68"/>
        <v>3</v>
      </c>
      <c r="AG1473" s="11">
        <v>43116</v>
      </c>
      <c r="AH1473" s="11">
        <f t="shared" si="69"/>
        <v>43118</v>
      </c>
    </row>
    <row r="1474" spans="29:34">
      <c r="AD1474" s="10" t="s">
        <v>55</v>
      </c>
      <c r="AE1474" s="11">
        <v>43110</v>
      </c>
      <c r="AF1474" s="12">
        <f t="shared" si="68"/>
        <v>4</v>
      </c>
      <c r="AG1474" s="11">
        <f>AE1475+(VLOOKUP(AF1475, $AJ$4:$AK$10, 2, FALSE))</f>
        <v>43116</v>
      </c>
      <c r="AH1474" s="11">
        <f t="shared" si="69"/>
        <v>43118</v>
      </c>
    </row>
    <row r="1475" spans="29:34">
      <c r="AD1475" s="10" t="s">
        <v>56</v>
      </c>
      <c r="AE1475" s="11">
        <v>43111</v>
      </c>
      <c r="AF1475" s="12">
        <f t="shared" si="68"/>
        <v>5</v>
      </c>
      <c r="AG1475" s="11">
        <f>AE1476+(VLOOKUP(AF1476, $AJ$4:$AK$10, 2, FALSE))</f>
        <v>43117</v>
      </c>
      <c r="AH1475" s="11">
        <f t="shared" si="69"/>
        <v>43119</v>
      </c>
    </row>
    <row r="1476" spans="29:34">
      <c r="AD1476" s="10" t="s">
        <v>57</v>
      </c>
      <c r="AE1476" s="11">
        <v>43112</v>
      </c>
      <c r="AF1476" s="12">
        <f t="shared" si="68"/>
        <v>6</v>
      </c>
      <c r="AG1476" s="11">
        <f>AE1477+(VLOOKUP(AF1477, $AJ$4:$AK$10, 2, FALSE))</f>
        <v>43118</v>
      </c>
      <c r="AH1476" s="11">
        <f t="shared" si="69"/>
        <v>43122</v>
      </c>
    </row>
    <row r="1477" spans="29:34">
      <c r="AD1477" s="10" t="s">
        <v>58</v>
      </c>
      <c r="AE1477" s="11">
        <v>43113</v>
      </c>
      <c r="AF1477" s="12">
        <f t="shared" ref="AF1477:AF1540" si="71">WEEKDAY(AE1477)</f>
        <v>7</v>
      </c>
      <c r="AG1477" s="11">
        <v>43119</v>
      </c>
      <c r="AH1477" s="11">
        <f t="shared" ref="AH1477:AH1540" si="72">IFERROR((WORKDAY(AG1477, 2, AC$4:AC$53)), "")</f>
        <v>43123</v>
      </c>
    </row>
    <row r="1478" spans="29:34">
      <c r="AD1478" s="10" t="s">
        <v>52</v>
      </c>
      <c r="AE1478" s="11">
        <v>43114</v>
      </c>
      <c r="AF1478" s="12">
        <f t="shared" si="71"/>
        <v>1</v>
      </c>
      <c r="AG1478" s="11">
        <v>43119</v>
      </c>
      <c r="AH1478" s="11">
        <f t="shared" si="72"/>
        <v>43123</v>
      </c>
    </row>
    <row r="1479" spans="29:34">
      <c r="AD1479" s="10" t="s">
        <v>53</v>
      </c>
      <c r="AE1479" s="11">
        <v>43115</v>
      </c>
      <c r="AF1479" s="12">
        <f t="shared" si="71"/>
        <v>2</v>
      </c>
      <c r="AG1479" s="11">
        <f t="shared" si="70"/>
        <v>43119</v>
      </c>
      <c r="AH1479" s="11">
        <f t="shared" si="72"/>
        <v>43123</v>
      </c>
    </row>
    <row r="1480" spans="29:34">
      <c r="AD1480" s="10" t="s">
        <v>54</v>
      </c>
      <c r="AE1480" s="11">
        <v>43116</v>
      </c>
      <c r="AF1480" s="12">
        <f t="shared" si="71"/>
        <v>3</v>
      </c>
      <c r="AG1480" s="11">
        <f t="shared" si="70"/>
        <v>43122</v>
      </c>
      <c r="AH1480" s="11">
        <f t="shared" si="72"/>
        <v>43124</v>
      </c>
    </row>
    <row r="1481" spans="29:34">
      <c r="AD1481" s="10" t="s">
        <v>55</v>
      </c>
      <c r="AE1481" s="11">
        <v>43117</v>
      </c>
      <c r="AF1481" s="12">
        <f t="shared" si="71"/>
        <v>4</v>
      </c>
      <c r="AG1481" s="11">
        <f t="shared" si="70"/>
        <v>43122</v>
      </c>
      <c r="AH1481" s="11">
        <f t="shared" si="72"/>
        <v>43124</v>
      </c>
    </row>
    <row r="1482" spans="29:34">
      <c r="AD1482" s="10" t="s">
        <v>56</v>
      </c>
      <c r="AE1482" s="11">
        <v>43118</v>
      </c>
      <c r="AF1482" s="12">
        <f t="shared" si="71"/>
        <v>5</v>
      </c>
      <c r="AG1482" s="11">
        <f t="shared" si="70"/>
        <v>43123</v>
      </c>
      <c r="AH1482" s="11">
        <f t="shared" si="72"/>
        <v>43125</v>
      </c>
    </row>
    <row r="1483" spans="29:34">
      <c r="AD1483" s="10" t="s">
        <v>57</v>
      </c>
      <c r="AE1483" s="11">
        <v>43119</v>
      </c>
      <c r="AF1483" s="12">
        <f t="shared" si="71"/>
        <v>6</v>
      </c>
      <c r="AG1483" s="11">
        <f t="shared" si="70"/>
        <v>43124</v>
      </c>
      <c r="AH1483" s="11">
        <f t="shared" si="72"/>
        <v>43126</v>
      </c>
    </row>
    <row r="1484" spans="29:34">
      <c r="AD1484" s="10" t="s">
        <v>58</v>
      </c>
      <c r="AE1484" s="11">
        <v>43120</v>
      </c>
      <c r="AF1484" s="12">
        <f t="shared" si="71"/>
        <v>7</v>
      </c>
      <c r="AG1484" s="11">
        <f t="shared" si="70"/>
        <v>43125</v>
      </c>
      <c r="AH1484" s="11">
        <f t="shared" si="72"/>
        <v>43129</v>
      </c>
    </row>
    <row r="1485" spans="29:34">
      <c r="AD1485" s="10" t="s">
        <v>52</v>
      </c>
      <c r="AE1485" s="11">
        <v>43121</v>
      </c>
      <c r="AF1485" s="12">
        <f t="shared" si="71"/>
        <v>1</v>
      </c>
      <c r="AG1485" s="11">
        <f t="shared" si="70"/>
        <v>43125</v>
      </c>
      <c r="AH1485" s="11">
        <f t="shared" si="72"/>
        <v>43129</v>
      </c>
    </row>
    <row r="1486" spans="29:34">
      <c r="AD1486" s="10" t="s">
        <v>53</v>
      </c>
      <c r="AE1486" s="11">
        <v>43122</v>
      </c>
      <c r="AF1486" s="12">
        <f t="shared" si="71"/>
        <v>2</v>
      </c>
      <c r="AG1486" s="11">
        <f t="shared" si="70"/>
        <v>43126</v>
      </c>
      <c r="AH1486" s="11">
        <f t="shared" si="72"/>
        <v>43130</v>
      </c>
    </row>
    <row r="1487" spans="29:34">
      <c r="AD1487" s="10" t="s">
        <v>54</v>
      </c>
      <c r="AE1487" s="11">
        <v>43123</v>
      </c>
      <c r="AF1487" s="12">
        <f t="shared" si="71"/>
        <v>3</v>
      </c>
      <c r="AG1487" s="11">
        <f t="shared" si="70"/>
        <v>43129</v>
      </c>
      <c r="AH1487" s="11">
        <f t="shared" si="72"/>
        <v>43131</v>
      </c>
    </row>
    <row r="1488" spans="29:34">
      <c r="AD1488" s="10" t="s">
        <v>55</v>
      </c>
      <c r="AE1488" s="11">
        <v>43124</v>
      </c>
      <c r="AF1488" s="12">
        <f t="shared" si="71"/>
        <v>4</v>
      </c>
      <c r="AG1488" s="11">
        <f t="shared" si="70"/>
        <v>43129</v>
      </c>
      <c r="AH1488" s="11">
        <f t="shared" si="72"/>
        <v>43131</v>
      </c>
    </row>
    <row r="1489" spans="30:34">
      <c r="AD1489" s="10" t="s">
        <v>56</v>
      </c>
      <c r="AE1489" s="11">
        <v>43125</v>
      </c>
      <c r="AF1489" s="12">
        <f t="shared" si="71"/>
        <v>5</v>
      </c>
      <c r="AG1489" s="11">
        <f t="shared" si="70"/>
        <v>43130</v>
      </c>
      <c r="AH1489" s="11">
        <f t="shared" si="72"/>
        <v>43132</v>
      </c>
    </row>
    <row r="1490" spans="30:34">
      <c r="AD1490" s="10" t="s">
        <v>57</v>
      </c>
      <c r="AE1490" s="11">
        <v>43126</v>
      </c>
      <c r="AF1490" s="12">
        <f t="shared" si="71"/>
        <v>6</v>
      </c>
      <c r="AG1490" s="11">
        <f t="shared" si="70"/>
        <v>43131</v>
      </c>
      <c r="AH1490" s="11">
        <f t="shared" si="72"/>
        <v>43133</v>
      </c>
    </row>
    <row r="1491" spans="30:34">
      <c r="AD1491" s="10" t="s">
        <v>58</v>
      </c>
      <c r="AE1491" s="11">
        <v>43127</v>
      </c>
      <c r="AF1491" s="12">
        <f t="shared" si="71"/>
        <v>7</v>
      </c>
      <c r="AG1491" s="11">
        <f t="shared" si="70"/>
        <v>43132</v>
      </c>
      <c r="AH1491" s="11">
        <f t="shared" si="72"/>
        <v>43136</v>
      </c>
    </row>
    <row r="1492" spans="30:34">
      <c r="AD1492" s="10" t="s">
        <v>52</v>
      </c>
      <c r="AE1492" s="11">
        <v>43128</v>
      </c>
      <c r="AF1492" s="12">
        <f t="shared" si="71"/>
        <v>1</v>
      </c>
      <c r="AG1492" s="11">
        <f t="shared" si="70"/>
        <v>43132</v>
      </c>
      <c r="AH1492" s="11">
        <f t="shared" si="72"/>
        <v>43136</v>
      </c>
    </row>
    <row r="1493" spans="30:34">
      <c r="AD1493" s="10" t="s">
        <v>53</v>
      </c>
      <c r="AE1493" s="11">
        <v>43129</v>
      </c>
      <c r="AF1493" s="12">
        <f t="shared" si="71"/>
        <v>2</v>
      </c>
      <c r="AG1493" s="11">
        <f t="shared" si="70"/>
        <v>43133</v>
      </c>
      <c r="AH1493" s="11">
        <f t="shared" si="72"/>
        <v>43137</v>
      </c>
    </row>
    <row r="1494" spans="30:34">
      <c r="AD1494" s="10" t="s">
        <v>54</v>
      </c>
      <c r="AE1494" s="11">
        <v>43130</v>
      </c>
      <c r="AF1494" s="12">
        <f t="shared" si="71"/>
        <v>3</v>
      </c>
      <c r="AG1494" s="11">
        <f t="shared" si="70"/>
        <v>43136</v>
      </c>
      <c r="AH1494" s="11">
        <f t="shared" si="72"/>
        <v>43138</v>
      </c>
    </row>
    <row r="1495" spans="30:34">
      <c r="AD1495" s="10" t="s">
        <v>55</v>
      </c>
      <c r="AE1495" s="11">
        <v>43131</v>
      </c>
      <c r="AF1495" s="12">
        <f t="shared" si="71"/>
        <v>4</v>
      </c>
      <c r="AG1495" s="11">
        <f t="shared" si="70"/>
        <v>43136</v>
      </c>
      <c r="AH1495" s="11">
        <f t="shared" si="72"/>
        <v>43138</v>
      </c>
    </row>
    <row r="1496" spans="30:34">
      <c r="AD1496" s="10" t="s">
        <v>56</v>
      </c>
      <c r="AE1496" s="11">
        <v>43132</v>
      </c>
      <c r="AF1496" s="12">
        <f t="shared" si="71"/>
        <v>5</v>
      </c>
      <c r="AG1496" s="11">
        <f t="shared" si="70"/>
        <v>43137</v>
      </c>
      <c r="AH1496" s="11">
        <f t="shared" si="72"/>
        <v>43139</v>
      </c>
    </row>
    <row r="1497" spans="30:34">
      <c r="AD1497" s="10" t="s">
        <v>57</v>
      </c>
      <c r="AE1497" s="11">
        <v>43133</v>
      </c>
      <c r="AF1497" s="12">
        <f t="shared" si="71"/>
        <v>6</v>
      </c>
      <c r="AG1497" s="11">
        <f t="shared" si="70"/>
        <v>43138</v>
      </c>
      <c r="AH1497" s="11">
        <f t="shared" si="72"/>
        <v>43140</v>
      </c>
    </row>
    <row r="1498" spans="30:34">
      <c r="AD1498" s="10" t="s">
        <v>58</v>
      </c>
      <c r="AE1498" s="11">
        <v>43134</v>
      </c>
      <c r="AF1498" s="12">
        <f t="shared" si="71"/>
        <v>7</v>
      </c>
      <c r="AG1498" s="11">
        <f t="shared" si="70"/>
        <v>43139</v>
      </c>
      <c r="AH1498" s="11">
        <f t="shared" si="72"/>
        <v>43143</v>
      </c>
    </row>
    <row r="1499" spans="30:34">
      <c r="AD1499" s="10" t="s">
        <v>52</v>
      </c>
      <c r="AE1499" s="11">
        <v>43135</v>
      </c>
      <c r="AF1499" s="12">
        <f t="shared" si="71"/>
        <v>1</v>
      </c>
      <c r="AG1499" s="11">
        <f t="shared" si="70"/>
        <v>43139</v>
      </c>
      <c r="AH1499" s="11">
        <f t="shared" si="72"/>
        <v>43143</v>
      </c>
    </row>
    <row r="1500" spans="30:34">
      <c r="AD1500" s="10" t="s">
        <v>53</v>
      </c>
      <c r="AE1500" s="11">
        <v>43136</v>
      </c>
      <c r="AF1500" s="12">
        <f t="shared" si="71"/>
        <v>2</v>
      </c>
      <c r="AG1500" s="11">
        <f t="shared" si="70"/>
        <v>43140</v>
      </c>
      <c r="AH1500" s="11">
        <f t="shared" si="72"/>
        <v>43144</v>
      </c>
    </row>
    <row r="1501" spans="30:34">
      <c r="AD1501" s="10" t="s">
        <v>54</v>
      </c>
      <c r="AE1501" s="11">
        <v>43137</v>
      </c>
      <c r="AF1501" s="12">
        <f t="shared" si="71"/>
        <v>3</v>
      </c>
      <c r="AG1501" s="11">
        <f t="shared" si="70"/>
        <v>43143</v>
      </c>
      <c r="AH1501" s="11">
        <f t="shared" si="72"/>
        <v>43145</v>
      </c>
    </row>
    <row r="1502" spans="30:34">
      <c r="AD1502" s="10" t="s">
        <v>55</v>
      </c>
      <c r="AE1502" s="11">
        <v>43138</v>
      </c>
      <c r="AF1502" s="12">
        <f t="shared" si="71"/>
        <v>4</v>
      </c>
      <c r="AG1502" s="11">
        <f t="shared" ref="AG1502:AG1565" si="73">AE1502+(VLOOKUP(AF1502, $AJ$4:$AK$10, 2, FALSE))</f>
        <v>43143</v>
      </c>
      <c r="AH1502" s="11">
        <f t="shared" si="72"/>
        <v>43145</v>
      </c>
    </row>
    <row r="1503" spans="30:34">
      <c r="AD1503" s="10" t="s">
        <v>56</v>
      </c>
      <c r="AE1503" s="11">
        <v>43139</v>
      </c>
      <c r="AF1503" s="12">
        <f t="shared" si="71"/>
        <v>5</v>
      </c>
      <c r="AG1503" s="11">
        <f t="shared" si="73"/>
        <v>43144</v>
      </c>
      <c r="AH1503" s="11">
        <f t="shared" si="72"/>
        <v>43146</v>
      </c>
    </row>
    <row r="1504" spans="30:34">
      <c r="AD1504" s="10" t="s">
        <v>57</v>
      </c>
      <c r="AE1504" s="11">
        <v>43140</v>
      </c>
      <c r="AF1504" s="12">
        <f t="shared" si="71"/>
        <v>6</v>
      </c>
      <c r="AG1504" s="11">
        <f t="shared" si="73"/>
        <v>43145</v>
      </c>
      <c r="AH1504" s="11">
        <f t="shared" si="72"/>
        <v>43147</v>
      </c>
    </row>
    <row r="1505" spans="30:34">
      <c r="AD1505" s="10" t="s">
        <v>58</v>
      </c>
      <c r="AE1505" s="11">
        <v>43141</v>
      </c>
      <c r="AF1505" s="12">
        <f t="shared" si="71"/>
        <v>7</v>
      </c>
      <c r="AG1505" s="11">
        <f t="shared" si="73"/>
        <v>43146</v>
      </c>
      <c r="AH1505" s="11">
        <f t="shared" si="72"/>
        <v>43151</v>
      </c>
    </row>
    <row r="1506" spans="30:34">
      <c r="AD1506" s="10" t="s">
        <v>52</v>
      </c>
      <c r="AE1506" s="11">
        <v>43142</v>
      </c>
      <c r="AF1506" s="12">
        <f t="shared" si="71"/>
        <v>1</v>
      </c>
      <c r="AG1506" s="11">
        <f t="shared" si="73"/>
        <v>43146</v>
      </c>
      <c r="AH1506" s="11">
        <f t="shared" si="72"/>
        <v>43151</v>
      </c>
    </row>
    <row r="1507" spans="30:34">
      <c r="AD1507" s="10" t="s">
        <v>53</v>
      </c>
      <c r="AE1507" s="11">
        <v>43143</v>
      </c>
      <c r="AF1507" s="12">
        <f t="shared" si="71"/>
        <v>2</v>
      </c>
      <c r="AG1507" s="11">
        <f t="shared" si="73"/>
        <v>43147</v>
      </c>
      <c r="AH1507" s="11">
        <f t="shared" si="72"/>
        <v>43152</v>
      </c>
    </row>
    <row r="1508" spans="30:34">
      <c r="AD1508" s="10" t="s">
        <v>54</v>
      </c>
      <c r="AE1508" s="11">
        <v>43144</v>
      </c>
      <c r="AF1508" s="12">
        <f t="shared" si="71"/>
        <v>3</v>
      </c>
      <c r="AG1508" s="11">
        <f t="shared" si="73"/>
        <v>43150</v>
      </c>
      <c r="AH1508" s="11">
        <f t="shared" si="72"/>
        <v>43152</v>
      </c>
    </row>
    <row r="1509" spans="30:34">
      <c r="AD1509" s="10" t="s">
        <v>55</v>
      </c>
      <c r="AE1509" s="11">
        <v>43145</v>
      </c>
      <c r="AF1509" s="12">
        <f t="shared" si="71"/>
        <v>4</v>
      </c>
      <c r="AG1509" s="11">
        <f t="shared" si="73"/>
        <v>43150</v>
      </c>
      <c r="AH1509" s="11">
        <f t="shared" si="72"/>
        <v>43152</v>
      </c>
    </row>
    <row r="1510" spans="30:34">
      <c r="AD1510" s="10" t="s">
        <v>56</v>
      </c>
      <c r="AE1510" s="11">
        <v>43146</v>
      </c>
      <c r="AF1510" s="12">
        <f t="shared" si="71"/>
        <v>5</v>
      </c>
      <c r="AG1510" s="11">
        <f t="shared" si="73"/>
        <v>43151</v>
      </c>
      <c r="AH1510" s="11">
        <f t="shared" si="72"/>
        <v>43153</v>
      </c>
    </row>
    <row r="1511" spans="30:34">
      <c r="AD1511" s="10" t="s">
        <v>57</v>
      </c>
      <c r="AE1511" s="11">
        <v>43147</v>
      </c>
      <c r="AF1511" s="12">
        <f t="shared" si="71"/>
        <v>6</v>
      </c>
      <c r="AG1511" s="11">
        <f t="shared" si="73"/>
        <v>43152</v>
      </c>
      <c r="AH1511" s="11">
        <f t="shared" si="72"/>
        <v>43154</v>
      </c>
    </row>
    <row r="1512" spans="30:34">
      <c r="AD1512" s="10" t="s">
        <v>58</v>
      </c>
      <c r="AE1512" s="11">
        <v>43148</v>
      </c>
      <c r="AF1512" s="12">
        <f t="shared" si="71"/>
        <v>7</v>
      </c>
      <c r="AG1512" s="11">
        <f t="shared" si="73"/>
        <v>43153</v>
      </c>
      <c r="AH1512" s="11">
        <f t="shared" si="72"/>
        <v>43157</v>
      </c>
    </row>
    <row r="1513" spans="30:34">
      <c r="AD1513" s="10" t="s">
        <v>52</v>
      </c>
      <c r="AE1513" s="11">
        <v>43149</v>
      </c>
      <c r="AF1513" s="12">
        <f t="shared" si="71"/>
        <v>1</v>
      </c>
      <c r="AG1513" s="11">
        <f t="shared" si="73"/>
        <v>43153</v>
      </c>
      <c r="AH1513" s="11">
        <f t="shared" si="72"/>
        <v>43157</v>
      </c>
    </row>
    <row r="1514" spans="30:34">
      <c r="AD1514" s="10" t="s">
        <v>53</v>
      </c>
      <c r="AE1514" s="11">
        <v>43150</v>
      </c>
      <c r="AF1514" s="12">
        <f t="shared" si="71"/>
        <v>2</v>
      </c>
      <c r="AG1514" s="11">
        <f t="shared" si="73"/>
        <v>43154</v>
      </c>
      <c r="AH1514" s="11">
        <f t="shared" si="72"/>
        <v>43158</v>
      </c>
    </row>
    <row r="1515" spans="30:34">
      <c r="AD1515" s="10" t="s">
        <v>54</v>
      </c>
      <c r="AE1515" s="11">
        <v>43151</v>
      </c>
      <c r="AF1515" s="12">
        <f t="shared" si="71"/>
        <v>3</v>
      </c>
      <c r="AG1515" s="11">
        <f t="shared" si="73"/>
        <v>43157</v>
      </c>
      <c r="AH1515" s="11">
        <f t="shared" si="72"/>
        <v>43159</v>
      </c>
    </row>
    <row r="1516" spans="30:34">
      <c r="AD1516" s="10" t="s">
        <v>55</v>
      </c>
      <c r="AE1516" s="11">
        <v>43152</v>
      </c>
      <c r="AF1516" s="12">
        <f t="shared" si="71"/>
        <v>4</v>
      </c>
      <c r="AG1516" s="11">
        <f t="shared" si="73"/>
        <v>43157</v>
      </c>
      <c r="AH1516" s="11">
        <f t="shared" si="72"/>
        <v>43159</v>
      </c>
    </row>
    <row r="1517" spans="30:34">
      <c r="AD1517" s="10" t="s">
        <v>56</v>
      </c>
      <c r="AE1517" s="11">
        <v>43153</v>
      </c>
      <c r="AF1517" s="12">
        <f t="shared" si="71"/>
        <v>5</v>
      </c>
      <c r="AG1517" s="11">
        <f t="shared" si="73"/>
        <v>43158</v>
      </c>
      <c r="AH1517" s="11">
        <f t="shared" si="72"/>
        <v>43160</v>
      </c>
    </row>
    <row r="1518" spans="30:34">
      <c r="AD1518" s="10" t="s">
        <v>57</v>
      </c>
      <c r="AE1518" s="11">
        <v>43154</v>
      </c>
      <c r="AF1518" s="12">
        <f t="shared" si="71"/>
        <v>6</v>
      </c>
      <c r="AG1518" s="11">
        <f t="shared" si="73"/>
        <v>43159</v>
      </c>
      <c r="AH1518" s="11">
        <f t="shared" si="72"/>
        <v>43161</v>
      </c>
    </row>
    <row r="1519" spans="30:34">
      <c r="AD1519" s="10" t="s">
        <v>58</v>
      </c>
      <c r="AE1519" s="11">
        <v>43155</v>
      </c>
      <c r="AF1519" s="12">
        <f t="shared" si="71"/>
        <v>7</v>
      </c>
      <c r="AG1519" s="11">
        <f t="shared" si="73"/>
        <v>43160</v>
      </c>
      <c r="AH1519" s="11">
        <f t="shared" si="72"/>
        <v>43164</v>
      </c>
    </row>
    <row r="1520" spans="30:34">
      <c r="AD1520" s="10" t="s">
        <v>52</v>
      </c>
      <c r="AE1520" s="11">
        <v>43156</v>
      </c>
      <c r="AF1520" s="12">
        <f t="shared" si="71"/>
        <v>1</v>
      </c>
      <c r="AG1520" s="11">
        <f t="shared" si="73"/>
        <v>43160</v>
      </c>
      <c r="AH1520" s="11">
        <f t="shared" si="72"/>
        <v>43164</v>
      </c>
    </row>
    <row r="1521" spans="30:34">
      <c r="AD1521" s="10" t="s">
        <v>53</v>
      </c>
      <c r="AE1521" s="11">
        <v>43157</v>
      </c>
      <c r="AF1521" s="12">
        <f t="shared" si="71"/>
        <v>2</v>
      </c>
      <c r="AG1521" s="11">
        <f t="shared" si="73"/>
        <v>43161</v>
      </c>
      <c r="AH1521" s="11">
        <f t="shared" si="72"/>
        <v>43165</v>
      </c>
    </row>
    <row r="1522" spans="30:34">
      <c r="AD1522" s="10" t="s">
        <v>54</v>
      </c>
      <c r="AE1522" s="11">
        <v>43158</v>
      </c>
      <c r="AF1522" s="12">
        <f t="shared" si="71"/>
        <v>3</v>
      </c>
      <c r="AG1522" s="11">
        <f t="shared" si="73"/>
        <v>43164</v>
      </c>
      <c r="AH1522" s="11">
        <f t="shared" si="72"/>
        <v>43166</v>
      </c>
    </row>
    <row r="1523" spans="30:34">
      <c r="AD1523" s="10" t="s">
        <v>55</v>
      </c>
      <c r="AE1523" s="11">
        <v>43159</v>
      </c>
      <c r="AF1523" s="12">
        <f t="shared" si="71"/>
        <v>4</v>
      </c>
      <c r="AG1523" s="11">
        <f t="shared" si="73"/>
        <v>43164</v>
      </c>
      <c r="AH1523" s="11">
        <f t="shared" si="72"/>
        <v>43166</v>
      </c>
    </row>
    <row r="1524" spans="30:34">
      <c r="AD1524" s="10" t="s">
        <v>56</v>
      </c>
      <c r="AE1524" s="11">
        <v>43160</v>
      </c>
      <c r="AF1524" s="12">
        <f t="shared" si="71"/>
        <v>5</v>
      </c>
      <c r="AG1524" s="11">
        <f t="shared" si="73"/>
        <v>43165</v>
      </c>
      <c r="AH1524" s="11">
        <f t="shared" si="72"/>
        <v>43167</v>
      </c>
    </row>
    <row r="1525" spans="30:34">
      <c r="AD1525" s="10" t="s">
        <v>57</v>
      </c>
      <c r="AE1525" s="11">
        <v>43161</v>
      </c>
      <c r="AF1525" s="12">
        <f t="shared" si="71"/>
        <v>6</v>
      </c>
      <c r="AG1525" s="11">
        <f t="shared" si="73"/>
        <v>43166</v>
      </c>
      <c r="AH1525" s="11">
        <f t="shared" si="72"/>
        <v>43168</v>
      </c>
    </row>
    <row r="1526" spans="30:34">
      <c r="AD1526" s="10" t="s">
        <v>58</v>
      </c>
      <c r="AE1526" s="11">
        <v>43162</v>
      </c>
      <c r="AF1526" s="12">
        <f t="shared" si="71"/>
        <v>7</v>
      </c>
      <c r="AG1526" s="11">
        <f t="shared" si="73"/>
        <v>43167</v>
      </c>
      <c r="AH1526" s="11">
        <f t="shared" si="72"/>
        <v>43171</v>
      </c>
    </row>
    <row r="1527" spans="30:34">
      <c r="AD1527" s="10" t="s">
        <v>52</v>
      </c>
      <c r="AE1527" s="11">
        <v>43163</v>
      </c>
      <c r="AF1527" s="12">
        <f t="shared" si="71"/>
        <v>1</v>
      </c>
      <c r="AG1527" s="11">
        <f t="shared" si="73"/>
        <v>43167</v>
      </c>
      <c r="AH1527" s="11">
        <f t="shared" si="72"/>
        <v>43171</v>
      </c>
    </row>
    <row r="1528" spans="30:34">
      <c r="AD1528" s="10" t="s">
        <v>53</v>
      </c>
      <c r="AE1528" s="11">
        <v>43164</v>
      </c>
      <c r="AF1528" s="12">
        <f t="shared" si="71"/>
        <v>2</v>
      </c>
      <c r="AG1528" s="11">
        <f t="shared" si="73"/>
        <v>43168</v>
      </c>
      <c r="AH1528" s="11">
        <f t="shared" si="72"/>
        <v>43172</v>
      </c>
    </row>
    <row r="1529" spans="30:34">
      <c r="AD1529" s="10" t="s">
        <v>54</v>
      </c>
      <c r="AE1529" s="11">
        <v>43165</v>
      </c>
      <c r="AF1529" s="12">
        <f t="shared" si="71"/>
        <v>3</v>
      </c>
      <c r="AG1529" s="11">
        <f t="shared" si="73"/>
        <v>43171</v>
      </c>
      <c r="AH1529" s="11">
        <f t="shared" si="72"/>
        <v>43173</v>
      </c>
    </row>
    <row r="1530" spans="30:34">
      <c r="AD1530" s="10" t="s">
        <v>55</v>
      </c>
      <c r="AE1530" s="11">
        <v>43166</v>
      </c>
      <c r="AF1530" s="12">
        <f t="shared" si="71"/>
        <v>4</v>
      </c>
      <c r="AG1530" s="11">
        <f t="shared" si="73"/>
        <v>43171</v>
      </c>
      <c r="AH1530" s="11">
        <f t="shared" si="72"/>
        <v>43173</v>
      </c>
    </row>
    <row r="1531" spans="30:34">
      <c r="AD1531" s="10" t="s">
        <v>56</v>
      </c>
      <c r="AE1531" s="11">
        <v>43167</v>
      </c>
      <c r="AF1531" s="12">
        <f t="shared" si="71"/>
        <v>5</v>
      </c>
      <c r="AG1531" s="11">
        <f t="shared" si="73"/>
        <v>43172</v>
      </c>
      <c r="AH1531" s="11">
        <f t="shared" si="72"/>
        <v>43174</v>
      </c>
    </row>
    <row r="1532" spans="30:34">
      <c r="AD1532" s="10" t="s">
        <v>57</v>
      </c>
      <c r="AE1532" s="11">
        <v>43168</v>
      </c>
      <c r="AF1532" s="12">
        <f t="shared" si="71"/>
        <v>6</v>
      </c>
      <c r="AG1532" s="11">
        <f t="shared" si="73"/>
        <v>43173</v>
      </c>
      <c r="AH1532" s="11">
        <f t="shared" si="72"/>
        <v>43175</v>
      </c>
    </row>
    <row r="1533" spans="30:34">
      <c r="AD1533" s="10" t="s">
        <v>58</v>
      </c>
      <c r="AE1533" s="11">
        <v>43169</v>
      </c>
      <c r="AF1533" s="12">
        <f t="shared" si="71"/>
        <v>7</v>
      </c>
      <c r="AG1533" s="11">
        <f t="shared" si="73"/>
        <v>43174</v>
      </c>
      <c r="AH1533" s="11">
        <f t="shared" si="72"/>
        <v>43178</v>
      </c>
    </row>
    <row r="1534" spans="30:34">
      <c r="AD1534" s="10" t="s">
        <v>52</v>
      </c>
      <c r="AE1534" s="11">
        <v>43170</v>
      </c>
      <c r="AF1534" s="12">
        <f t="shared" si="71"/>
        <v>1</v>
      </c>
      <c r="AG1534" s="11">
        <f t="shared" si="73"/>
        <v>43174</v>
      </c>
      <c r="AH1534" s="11">
        <f t="shared" si="72"/>
        <v>43178</v>
      </c>
    </row>
    <row r="1535" spans="30:34">
      <c r="AD1535" s="10" t="s">
        <v>53</v>
      </c>
      <c r="AE1535" s="11">
        <v>43171</v>
      </c>
      <c r="AF1535" s="12">
        <f t="shared" si="71"/>
        <v>2</v>
      </c>
      <c r="AG1535" s="11">
        <f t="shared" si="73"/>
        <v>43175</v>
      </c>
      <c r="AH1535" s="11">
        <f t="shared" si="72"/>
        <v>43179</v>
      </c>
    </row>
    <row r="1536" spans="30:34">
      <c r="AD1536" s="10" t="s">
        <v>54</v>
      </c>
      <c r="AE1536" s="11">
        <v>43172</v>
      </c>
      <c r="AF1536" s="12">
        <f t="shared" si="71"/>
        <v>3</v>
      </c>
      <c r="AG1536" s="11">
        <f t="shared" si="73"/>
        <v>43178</v>
      </c>
      <c r="AH1536" s="11">
        <f t="shared" si="72"/>
        <v>43180</v>
      </c>
    </row>
    <row r="1537" spans="30:34">
      <c r="AD1537" s="10" t="s">
        <v>55</v>
      </c>
      <c r="AE1537" s="11">
        <v>43173</v>
      </c>
      <c r="AF1537" s="12">
        <f t="shared" si="71"/>
        <v>4</v>
      </c>
      <c r="AG1537" s="11">
        <f t="shared" si="73"/>
        <v>43178</v>
      </c>
      <c r="AH1537" s="11">
        <f t="shared" si="72"/>
        <v>43180</v>
      </c>
    </row>
    <row r="1538" spans="30:34">
      <c r="AD1538" s="10" t="s">
        <v>56</v>
      </c>
      <c r="AE1538" s="11">
        <v>43174</v>
      </c>
      <c r="AF1538" s="12">
        <f t="shared" si="71"/>
        <v>5</v>
      </c>
      <c r="AG1538" s="11">
        <f t="shared" si="73"/>
        <v>43179</v>
      </c>
      <c r="AH1538" s="11">
        <f t="shared" si="72"/>
        <v>43181</v>
      </c>
    </row>
    <row r="1539" spans="30:34">
      <c r="AD1539" s="10" t="s">
        <v>57</v>
      </c>
      <c r="AE1539" s="11">
        <v>43175</v>
      </c>
      <c r="AF1539" s="12">
        <f t="shared" si="71"/>
        <v>6</v>
      </c>
      <c r="AG1539" s="11">
        <f t="shared" si="73"/>
        <v>43180</v>
      </c>
      <c r="AH1539" s="11">
        <f t="shared" si="72"/>
        <v>43182</v>
      </c>
    </row>
    <row r="1540" spans="30:34">
      <c r="AD1540" s="10" t="s">
        <v>58</v>
      </c>
      <c r="AE1540" s="11">
        <v>43176</v>
      </c>
      <c r="AF1540" s="12">
        <f t="shared" si="71"/>
        <v>7</v>
      </c>
      <c r="AG1540" s="11">
        <f t="shared" si="73"/>
        <v>43181</v>
      </c>
      <c r="AH1540" s="11">
        <f t="shared" si="72"/>
        <v>43185</v>
      </c>
    </row>
    <row r="1541" spans="30:34">
      <c r="AD1541" s="10" t="s">
        <v>52</v>
      </c>
      <c r="AE1541" s="11">
        <v>43177</v>
      </c>
      <c r="AF1541" s="12">
        <f t="shared" ref="AF1541:AF1604" si="74">WEEKDAY(AE1541)</f>
        <v>1</v>
      </c>
      <c r="AG1541" s="11">
        <f t="shared" si="73"/>
        <v>43181</v>
      </c>
      <c r="AH1541" s="11">
        <f t="shared" ref="AH1541:AH1604" si="75">IFERROR((WORKDAY(AG1541, 2, AC$4:AC$53)), "")</f>
        <v>43185</v>
      </c>
    </row>
    <row r="1542" spans="30:34">
      <c r="AD1542" s="10" t="s">
        <v>53</v>
      </c>
      <c r="AE1542" s="11">
        <v>43178</v>
      </c>
      <c r="AF1542" s="12">
        <f t="shared" si="74"/>
        <v>2</v>
      </c>
      <c r="AG1542" s="11">
        <f t="shared" si="73"/>
        <v>43182</v>
      </c>
      <c r="AH1542" s="11">
        <f t="shared" si="75"/>
        <v>43186</v>
      </c>
    </row>
    <row r="1543" spans="30:34">
      <c r="AD1543" s="10" t="s">
        <v>54</v>
      </c>
      <c r="AE1543" s="11">
        <v>43179</v>
      </c>
      <c r="AF1543" s="12">
        <f t="shared" si="74"/>
        <v>3</v>
      </c>
      <c r="AG1543" s="11">
        <f t="shared" si="73"/>
        <v>43185</v>
      </c>
      <c r="AH1543" s="11">
        <f t="shared" si="75"/>
        <v>43187</v>
      </c>
    </row>
    <row r="1544" spans="30:34">
      <c r="AD1544" s="10" t="s">
        <v>55</v>
      </c>
      <c r="AE1544" s="11">
        <v>43180</v>
      </c>
      <c r="AF1544" s="12">
        <f t="shared" si="74"/>
        <v>4</v>
      </c>
      <c r="AG1544" s="11">
        <f t="shared" si="73"/>
        <v>43185</v>
      </c>
      <c r="AH1544" s="11">
        <f t="shared" si="75"/>
        <v>43187</v>
      </c>
    </row>
    <row r="1545" spans="30:34">
      <c r="AD1545" s="10" t="s">
        <v>56</v>
      </c>
      <c r="AE1545" s="11">
        <v>43181</v>
      </c>
      <c r="AF1545" s="12">
        <f t="shared" si="74"/>
        <v>5</v>
      </c>
      <c r="AG1545" s="11">
        <f t="shared" si="73"/>
        <v>43186</v>
      </c>
      <c r="AH1545" s="11">
        <f t="shared" si="75"/>
        <v>43188</v>
      </c>
    </row>
    <row r="1546" spans="30:34">
      <c r="AD1546" s="10" t="s">
        <v>57</v>
      </c>
      <c r="AE1546" s="11">
        <v>43182</v>
      </c>
      <c r="AF1546" s="12">
        <f t="shared" si="74"/>
        <v>6</v>
      </c>
      <c r="AG1546" s="11">
        <f t="shared" si="73"/>
        <v>43187</v>
      </c>
      <c r="AH1546" s="11">
        <f t="shared" si="75"/>
        <v>43189</v>
      </c>
    </row>
    <row r="1547" spans="30:34">
      <c r="AD1547" s="10" t="s">
        <v>58</v>
      </c>
      <c r="AE1547" s="11">
        <v>43183</v>
      </c>
      <c r="AF1547" s="12">
        <f t="shared" si="74"/>
        <v>7</v>
      </c>
      <c r="AG1547" s="11">
        <f t="shared" si="73"/>
        <v>43188</v>
      </c>
      <c r="AH1547" s="11">
        <f t="shared" si="75"/>
        <v>43192</v>
      </c>
    </row>
    <row r="1548" spans="30:34">
      <c r="AD1548" s="10" t="s">
        <v>52</v>
      </c>
      <c r="AE1548" s="11">
        <v>43184</v>
      </c>
      <c r="AF1548" s="12">
        <f t="shared" si="74"/>
        <v>1</v>
      </c>
      <c r="AG1548" s="11">
        <f t="shared" si="73"/>
        <v>43188</v>
      </c>
      <c r="AH1548" s="11">
        <f t="shared" si="75"/>
        <v>43192</v>
      </c>
    </row>
    <row r="1549" spans="30:34">
      <c r="AD1549" s="10" t="s">
        <v>53</v>
      </c>
      <c r="AE1549" s="11">
        <v>43185</v>
      </c>
      <c r="AF1549" s="12">
        <f t="shared" si="74"/>
        <v>2</v>
      </c>
      <c r="AG1549" s="11">
        <f t="shared" si="73"/>
        <v>43189</v>
      </c>
      <c r="AH1549" s="11">
        <f t="shared" si="75"/>
        <v>43193</v>
      </c>
    </row>
    <row r="1550" spans="30:34">
      <c r="AD1550" s="10" t="s">
        <v>54</v>
      </c>
      <c r="AE1550" s="11">
        <v>43186</v>
      </c>
      <c r="AF1550" s="12">
        <f t="shared" si="74"/>
        <v>3</v>
      </c>
      <c r="AG1550" s="11">
        <f t="shared" si="73"/>
        <v>43192</v>
      </c>
      <c r="AH1550" s="11">
        <f t="shared" si="75"/>
        <v>43194</v>
      </c>
    </row>
    <row r="1551" spans="30:34">
      <c r="AD1551" s="10" t="s">
        <v>55</v>
      </c>
      <c r="AE1551" s="11">
        <v>43187</v>
      </c>
      <c r="AF1551" s="12">
        <f t="shared" si="74"/>
        <v>4</v>
      </c>
      <c r="AG1551" s="11">
        <f t="shared" si="73"/>
        <v>43192</v>
      </c>
      <c r="AH1551" s="11">
        <f t="shared" si="75"/>
        <v>43194</v>
      </c>
    </row>
    <row r="1552" spans="30:34">
      <c r="AD1552" s="10" t="s">
        <v>56</v>
      </c>
      <c r="AE1552" s="11">
        <v>43188</v>
      </c>
      <c r="AF1552" s="12">
        <f t="shared" si="74"/>
        <v>5</v>
      </c>
      <c r="AG1552" s="11">
        <f t="shared" si="73"/>
        <v>43193</v>
      </c>
      <c r="AH1552" s="11">
        <f t="shared" si="75"/>
        <v>43195</v>
      </c>
    </row>
    <row r="1553" spans="30:34">
      <c r="AD1553" s="10" t="s">
        <v>57</v>
      </c>
      <c r="AE1553" s="11">
        <v>43189</v>
      </c>
      <c r="AF1553" s="12">
        <f t="shared" si="74"/>
        <v>6</v>
      </c>
      <c r="AG1553" s="11">
        <f t="shared" si="73"/>
        <v>43194</v>
      </c>
      <c r="AH1553" s="11">
        <f t="shared" si="75"/>
        <v>43196</v>
      </c>
    </row>
    <row r="1554" spans="30:34">
      <c r="AD1554" s="10" t="s">
        <v>58</v>
      </c>
      <c r="AE1554" s="11">
        <v>43190</v>
      </c>
      <c r="AF1554" s="12">
        <f t="shared" si="74"/>
        <v>7</v>
      </c>
      <c r="AG1554" s="11">
        <f t="shared" si="73"/>
        <v>43195</v>
      </c>
      <c r="AH1554" s="11">
        <f t="shared" si="75"/>
        <v>43199</v>
      </c>
    </row>
    <row r="1555" spans="30:34">
      <c r="AD1555" s="10" t="s">
        <v>52</v>
      </c>
      <c r="AE1555" s="11">
        <v>43191</v>
      </c>
      <c r="AF1555" s="12">
        <f t="shared" si="74"/>
        <v>1</v>
      </c>
      <c r="AG1555" s="11">
        <f t="shared" si="73"/>
        <v>43195</v>
      </c>
      <c r="AH1555" s="11">
        <f t="shared" si="75"/>
        <v>43199</v>
      </c>
    </row>
    <row r="1556" spans="30:34">
      <c r="AD1556" s="10" t="s">
        <v>53</v>
      </c>
      <c r="AE1556" s="11">
        <v>43192</v>
      </c>
      <c r="AF1556" s="12">
        <f t="shared" si="74"/>
        <v>2</v>
      </c>
      <c r="AG1556" s="11">
        <f t="shared" si="73"/>
        <v>43196</v>
      </c>
      <c r="AH1556" s="11">
        <f t="shared" si="75"/>
        <v>43200</v>
      </c>
    </row>
    <row r="1557" spans="30:34">
      <c r="AD1557" s="10" t="s">
        <v>54</v>
      </c>
      <c r="AE1557" s="11">
        <v>43193</v>
      </c>
      <c r="AF1557" s="12">
        <f t="shared" si="74"/>
        <v>3</v>
      </c>
      <c r="AG1557" s="11">
        <f t="shared" si="73"/>
        <v>43199</v>
      </c>
      <c r="AH1557" s="11">
        <f t="shared" si="75"/>
        <v>43201</v>
      </c>
    </row>
    <row r="1558" spans="30:34">
      <c r="AD1558" s="10" t="s">
        <v>55</v>
      </c>
      <c r="AE1558" s="11">
        <v>43194</v>
      </c>
      <c r="AF1558" s="12">
        <f t="shared" si="74"/>
        <v>4</v>
      </c>
      <c r="AG1558" s="11">
        <f t="shared" si="73"/>
        <v>43199</v>
      </c>
      <c r="AH1558" s="11">
        <f t="shared" si="75"/>
        <v>43201</v>
      </c>
    </row>
    <row r="1559" spans="30:34">
      <c r="AD1559" s="10" t="s">
        <v>56</v>
      </c>
      <c r="AE1559" s="11">
        <v>43195</v>
      </c>
      <c r="AF1559" s="12">
        <f t="shared" si="74"/>
        <v>5</v>
      </c>
      <c r="AG1559" s="11">
        <f t="shared" si="73"/>
        <v>43200</v>
      </c>
      <c r="AH1559" s="11">
        <f t="shared" si="75"/>
        <v>43202</v>
      </c>
    </row>
    <row r="1560" spans="30:34">
      <c r="AD1560" s="10" t="s">
        <v>57</v>
      </c>
      <c r="AE1560" s="11">
        <v>43196</v>
      </c>
      <c r="AF1560" s="12">
        <f t="shared" si="74"/>
        <v>6</v>
      </c>
      <c r="AG1560" s="11">
        <f t="shared" si="73"/>
        <v>43201</v>
      </c>
      <c r="AH1560" s="11">
        <f t="shared" si="75"/>
        <v>43203</v>
      </c>
    </row>
    <row r="1561" spans="30:34">
      <c r="AD1561" s="10" t="s">
        <v>58</v>
      </c>
      <c r="AE1561" s="11">
        <v>43197</v>
      </c>
      <c r="AF1561" s="12">
        <f t="shared" si="74"/>
        <v>7</v>
      </c>
      <c r="AG1561" s="11">
        <f t="shared" si="73"/>
        <v>43202</v>
      </c>
      <c r="AH1561" s="11">
        <f t="shared" si="75"/>
        <v>43206</v>
      </c>
    </row>
    <row r="1562" spans="30:34">
      <c r="AD1562" s="10" t="s">
        <v>52</v>
      </c>
      <c r="AE1562" s="11">
        <v>43198</v>
      </c>
      <c r="AF1562" s="12">
        <f t="shared" si="74"/>
        <v>1</v>
      </c>
      <c r="AG1562" s="11">
        <f t="shared" si="73"/>
        <v>43202</v>
      </c>
      <c r="AH1562" s="11">
        <f t="shared" si="75"/>
        <v>43206</v>
      </c>
    </row>
    <row r="1563" spans="30:34">
      <c r="AD1563" s="10" t="s">
        <v>53</v>
      </c>
      <c r="AE1563" s="11">
        <v>43199</v>
      </c>
      <c r="AF1563" s="12">
        <f t="shared" si="74"/>
        <v>2</v>
      </c>
      <c r="AG1563" s="11">
        <f t="shared" si="73"/>
        <v>43203</v>
      </c>
      <c r="AH1563" s="11">
        <f t="shared" si="75"/>
        <v>43207</v>
      </c>
    </row>
    <row r="1564" spans="30:34">
      <c r="AD1564" s="10" t="s">
        <v>54</v>
      </c>
      <c r="AE1564" s="11">
        <v>43200</v>
      </c>
      <c r="AF1564" s="12">
        <f t="shared" si="74"/>
        <v>3</v>
      </c>
      <c r="AG1564" s="11">
        <f t="shared" si="73"/>
        <v>43206</v>
      </c>
      <c r="AH1564" s="11">
        <f t="shared" si="75"/>
        <v>43208</v>
      </c>
    </row>
    <row r="1565" spans="30:34">
      <c r="AD1565" s="10" t="s">
        <v>55</v>
      </c>
      <c r="AE1565" s="11">
        <v>43201</v>
      </c>
      <c r="AF1565" s="12">
        <f t="shared" si="74"/>
        <v>4</v>
      </c>
      <c r="AG1565" s="11">
        <f t="shared" si="73"/>
        <v>43206</v>
      </c>
      <c r="AH1565" s="11">
        <f t="shared" si="75"/>
        <v>43208</v>
      </c>
    </row>
    <row r="1566" spans="30:34">
      <c r="AD1566" s="10" t="s">
        <v>56</v>
      </c>
      <c r="AE1566" s="11">
        <v>43202</v>
      </c>
      <c r="AF1566" s="12">
        <f t="shared" si="74"/>
        <v>5</v>
      </c>
      <c r="AG1566" s="11">
        <f t="shared" ref="AG1566:AG1629" si="76">AE1566+(VLOOKUP(AF1566, $AJ$4:$AK$10, 2, FALSE))</f>
        <v>43207</v>
      </c>
      <c r="AH1566" s="11">
        <f t="shared" si="75"/>
        <v>43209</v>
      </c>
    </row>
    <row r="1567" spans="30:34">
      <c r="AD1567" s="10" t="s">
        <v>57</v>
      </c>
      <c r="AE1567" s="11">
        <v>43203</v>
      </c>
      <c r="AF1567" s="12">
        <f t="shared" si="74"/>
        <v>6</v>
      </c>
      <c r="AG1567" s="11">
        <f t="shared" si="76"/>
        <v>43208</v>
      </c>
      <c r="AH1567" s="11">
        <f t="shared" si="75"/>
        <v>43210</v>
      </c>
    </row>
    <row r="1568" spans="30:34">
      <c r="AD1568" s="10" t="s">
        <v>58</v>
      </c>
      <c r="AE1568" s="11">
        <v>43204</v>
      </c>
      <c r="AF1568" s="12">
        <f t="shared" si="74"/>
        <v>7</v>
      </c>
      <c r="AG1568" s="11">
        <f t="shared" si="76"/>
        <v>43209</v>
      </c>
      <c r="AH1568" s="11">
        <f t="shared" si="75"/>
        <v>43213</v>
      </c>
    </row>
    <row r="1569" spans="30:34">
      <c r="AD1569" s="10" t="s">
        <v>52</v>
      </c>
      <c r="AE1569" s="11">
        <v>43205</v>
      </c>
      <c r="AF1569" s="12">
        <f t="shared" si="74"/>
        <v>1</v>
      </c>
      <c r="AG1569" s="11">
        <f t="shared" si="76"/>
        <v>43209</v>
      </c>
      <c r="AH1569" s="11">
        <f t="shared" si="75"/>
        <v>43213</v>
      </c>
    </row>
    <row r="1570" spans="30:34">
      <c r="AD1570" s="10" t="s">
        <v>53</v>
      </c>
      <c r="AE1570" s="11">
        <v>43206</v>
      </c>
      <c r="AF1570" s="12">
        <f t="shared" si="74"/>
        <v>2</v>
      </c>
      <c r="AG1570" s="11">
        <f t="shared" si="76"/>
        <v>43210</v>
      </c>
      <c r="AH1570" s="11">
        <f t="shared" si="75"/>
        <v>43214</v>
      </c>
    </row>
    <row r="1571" spans="30:34">
      <c r="AD1571" s="10" t="s">
        <v>54</v>
      </c>
      <c r="AE1571" s="11">
        <v>43207</v>
      </c>
      <c r="AF1571" s="12">
        <f t="shared" si="74"/>
        <v>3</v>
      </c>
      <c r="AG1571" s="11">
        <f t="shared" si="76"/>
        <v>43213</v>
      </c>
      <c r="AH1571" s="11">
        <f t="shared" si="75"/>
        <v>43215</v>
      </c>
    </row>
    <row r="1572" spans="30:34">
      <c r="AD1572" s="10" t="s">
        <v>55</v>
      </c>
      <c r="AE1572" s="11">
        <v>43208</v>
      </c>
      <c r="AF1572" s="12">
        <f t="shared" si="74"/>
        <v>4</v>
      </c>
      <c r="AG1572" s="11">
        <f t="shared" si="76"/>
        <v>43213</v>
      </c>
      <c r="AH1572" s="11">
        <f t="shared" si="75"/>
        <v>43215</v>
      </c>
    </row>
    <row r="1573" spans="30:34">
      <c r="AD1573" s="10" t="s">
        <v>56</v>
      </c>
      <c r="AE1573" s="11">
        <v>43209</v>
      </c>
      <c r="AF1573" s="12">
        <f t="shared" si="74"/>
        <v>5</v>
      </c>
      <c r="AG1573" s="11">
        <f t="shared" si="76"/>
        <v>43214</v>
      </c>
      <c r="AH1573" s="11">
        <f t="shared" si="75"/>
        <v>43216</v>
      </c>
    </row>
    <row r="1574" spans="30:34">
      <c r="AD1574" s="10" t="s">
        <v>57</v>
      </c>
      <c r="AE1574" s="11">
        <v>43210</v>
      </c>
      <c r="AF1574" s="12">
        <f t="shared" si="74"/>
        <v>6</v>
      </c>
      <c r="AG1574" s="11">
        <f t="shared" si="76"/>
        <v>43215</v>
      </c>
      <c r="AH1574" s="11">
        <f t="shared" si="75"/>
        <v>43217</v>
      </c>
    </row>
    <row r="1575" spans="30:34">
      <c r="AD1575" s="10" t="s">
        <v>58</v>
      </c>
      <c r="AE1575" s="11">
        <v>43211</v>
      </c>
      <c r="AF1575" s="12">
        <f t="shared" si="74"/>
        <v>7</v>
      </c>
      <c r="AG1575" s="11">
        <f t="shared" si="76"/>
        <v>43216</v>
      </c>
      <c r="AH1575" s="11">
        <f t="shared" si="75"/>
        <v>43220</v>
      </c>
    </row>
    <row r="1576" spans="30:34">
      <c r="AD1576" s="10" t="s">
        <v>52</v>
      </c>
      <c r="AE1576" s="11">
        <v>43212</v>
      </c>
      <c r="AF1576" s="12">
        <f t="shared" si="74"/>
        <v>1</v>
      </c>
      <c r="AG1576" s="11">
        <f t="shared" si="76"/>
        <v>43216</v>
      </c>
      <c r="AH1576" s="11">
        <f t="shared" si="75"/>
        <v>43220</v>
      </c>
    </row>
    <row r="1577" spans="30:34">
      <c r="AD1577" s="10" t="s">
        <v>53</v>
      </c>
      <c r="AE1577" s="11">
        <v>43213</v>
      </c>
      <c r="AF1577" s="12">
        <f t="shared" si="74"/>
        <v>2</v>
      </c>
      <c r="AG1577" s="11">
        <f t="shared" si="76"/>
        <v>43217</v>
      </c>
      <c r="AH1577" s="11">
        <f t="shared" si="75"/>
        <v>43221</v>
      </c>
    </row>
    <row r="1578" spans="30:34">
      <c r="AD1578" s="10" t="s">
        <v>54</v>
      </c>
      <c r="AE1578" s="11">
        <v>43214</v>
      </c>
      <c r="AF1578" s="12">
        <f t="shared" si="74"/>
        <v>3</v>
      </c>
      <c r="AG1578" s="11">
        <f t="shared" si="76"/>
        <v>43220</v>
      </c>
      <c r="AH1578" s="11">
        <f t="shared" si="75"/>
        <v>43222</v>
      </c>
    </row>
    <row r="1579" spans="30:34">
      <c r="AD1579" s="10" t="s">
        <v>55</v>
      </c>
      <c r="AE1579" s="11">
        <v>43215</v>
      </c>
      <c r="AF1579" s="12">
        <f t="shared" si="74"/>
        <v>4</v>
      </c>
      <c r="AG1579" s="11">
        <f t="shared" si="76"/>
        <v>43220</v>
      </c>
      <c r="AH1579" s="11">
        <f t="shared" si="75"/>
        <v>43222</v>
      </c>
    </row>
    <row r="1580" spans="30:34">
      <c r="AD1580" s="10" t="s">
        <v>56</v>
      </c>
      <c r="AE1580" s="11">
        <v>43216</v>
      </c>
      <c r="AF1580" s="12">
        <f t="shared" si="74"/>
        <v>5</v>
      </c>
      <c r="AG1580" s="11">
        <f t="shared" si="76"/>
        <v>43221</v>
      </c>
      <c r="AH1580" s="11">
        <f t="shared" si="75"/>
        <v>43223</v>
      </c>
    </row>
    <row r="1581" spans="30:34">
      <c r="AD1581" s="10" t="s">
        <v>57</v>
      </c>
      <c r="AE1581" s="11">
        <v>43217</v>
      </c>
      <c r="AF1581" s="12">
        <f t="shared" si="74"/>
        <v>6</v>
      </c>
      <c r="AG1581" s="11">
        <f t="shared" si="76"/>
        <v>43222</v>
      </c>
      <c r="AH1581" s="11">
        <f t="shared" si="75"/>
        <v>43224</v>
      </c>
    </row>
    <row r="1582" spans="30:34">
      <c r="AD1582" s="10" t="s">
        <v>58</v>
      </c>
      <c r="AE1582" s="11">
        <v>43218</v>
      </c>
      <c r="AF1582" s="12">
        <f t="shared" si="74"/>
        <v>7</v>
      </c>
      <c r="AG1582" s="11">
        <f t="shared" si="76"/>
        <v>43223</v>
      </c>
      <c r="AH1582" s="11">
        <f t="shared" si="75"/>
        <v>43227</v>
      </c>
    </row>
    <row r="1583" spans="30:34">
      <c r="AD1583" s="10" t="s">
        <v>52</v>
      </c>
      <c r="AE1583" s="11">
        <v>43219</v>
      </c>
      <c r="AF1583" s="12">
        <f t="shared" si="74"/>
        <v>1</v>
      </c>
      <c r="AG1583" s="11">
        <f t="shared" si="76"/>
        <v>43223</v>
      </c>
      <c r="AH1583" s="11">
        <f t="shared" si="75"/>
        <v>43227</v>
      </c>
    </row>
    <row r="1584" spans="30:34">
      <c r="AD1584" s="10" t="s">
        <v>53</v>
      </c>
      <c r="AE1584" s="11">
        <v>43220</v>
      </c>
      <c r="AF1584" s="12">
        <f t="shared" si="74"/>
        <v>2</v>
      </c>
      <c r="AG1584" s="11">
        <f t="shared" si="76"/>
        <v>43224</v>
      </c>
      <c r="AH1584" s="11">
        <f t="shared" si="75"/>
        <v>43228</v>
      </c>
    </row>
    <row r="1585" spans="30:34">
      <c r="AD1585" s="10" t="s">
        <v>54</v>
      </c>
      <c r="AE1585" s="11">
        <v>43221</v>
      </c>
      <c r="AF1585" s="12">
        <f t="shared" si="74"/>
        <v>3</v>
      </c>
      <c r="AG1585" s="11">
        <f t="shared" si="76"/>
        <v>43227</v>
      </c>
      <c r="AH1585" s="11">
        <f t="shared" si="75"/>
        <v>43229</v>
      </c>
    </row>
    <row r="1586" spans="30:34">
      <c r="AD1586" s="10" t="s">
        <v>55</v>
      </c>
      <c r="AE1586" s="11">
        <v>43222</v>
      </c>
      <c r="AF1586" s="12">
        <f t="shared" si="74"/>
        <v>4</v>
      </c>
      <c r="AG1586" s="11">
        <f t="shared" si="76"/>
        <v>43227</v>
      </c>
      <c r="AH1586" s="11">
        <f t="shared" si="75"/>
        <v>43229</v>
      </c>
    </row>
    <row r="1587" spans="30:34">
      <c r="AD1587" s="10" t="s">
        <v>56</v>
      </c>
      <c r="AE1587" s="11">
        <v>43223</v>
      </c>
      <c r="AF1587" s="12">
        <f t="shared" si="74"/>
        <v>5</v>
      </c>
      <c r="AG1587" s="11">
        <f t="shared" si="76"/>
        <v>43228</v>
      </c>
      <c r="AH1587" s="11">
        <f t="shared" si="75"/>
        <v>43230</v>
      </c>
    </row>
    <row r="1588" spans="30:34">
      <c r="AD1588" s="10" t="s">
        <v>57</v>
      </c>
      <c r="AE1588" s="11">
        <v>43224</v>
      </c>
      <c r="AF1588" s="12">
        <f t="shared" si="74"/>
        <v>6</v>
      </c>
      <c r="AG1588" s="11">
        <f t="shared" si="76"/>
        <v>43229</v>
      </c>
      <c r="AH1588" s="11">
        <f t="shared" si="75"/>
        <v>43231</v>
      </c>
    </row>
    <row r="1589" spans="30:34">
      <c r="AD1589" s="10" t="s">
        <v>58</v>
      </c>
      <c r="AE1589" s="11">
        <v>43225</v>
      </c>
      <c r="AF1589" s="12">
        <f t="shared" si="74"/>
        <v>7</v>
      </c>
      <c r="AG1589" s="11">
        <f t="shared" si="76"/>
        <v>43230</v>
      </c>
      <c r="AH1589" s="11">
        <f t="shared" si="75"/>
        <v>43234</v>
      </c>
    </row>
    <row r="1590" spans="30:34">
      <c r="AD1590" s="10" t="s">
        <v>52</v>
      </c>
      <c r="AE1590" s="11">
        <v>43226</v>
      </c>
      <c r="AF1590" s="12">
        <f t="shared" si="74"/>
        <v>1</v>
      </c>
      <c r="AG1590" s="11">
        <f t="shared" si="76"/>
        <v>43230</v>
      </c>
      <c r="AH1590" s="11">
        <f t="shared" si="75"/>
        <v>43234</v>
      </c>
    </row>
    <row r="1591" spans="30:34">
      <c r="AD1591" s="10" t="s">
        <v>53</v>
      </c>
      <c r="AE1591" s="11">
        <v>43227</v>
      </c>
      <c r="AF1591" s="12">
        <f t="shared" si="74"/>
        <v>2</v>
      </c>
      <c r="AG1591" s="11">
        <f t="shared" si="76"/>
        <v>43231</v>
      </c>
      <c r="AH1591" s="11">
        <f t="shared" si="75"/>
        <v>43235</v>
      </c>
    </row>
    <row r="1592" spans="30:34">
      <c r="AD1592" s="10" t="s">
        <v>54</v>
      </c>
      <c r="AE1592" s="11">
        <v>43228</v>
      </c>
      <c r="AF1592" s="12">
        <f t="shared" si="74"/>
        <v>3</v>
      </c>
      <c r="AG1592" s="11">
        <f t="shared" si="76"/>
        <v>43234</v>
      </c>
      <c r="AH1592" s="11">
        <f t="shared" si="75"/>
        <v>43236</v>
      </c>
    </row>
    <row r="1593" spans="30:34">
      <c r="AD1593" s="10" t="s">
        <v>55</v>
      </c>
      <c r="AE1593" s="11">
        <v>43229</v>
      </c>
      <c r="AF1593" s="12">
        <f t="shared" si="74"/>
        <v>4</v>
      </c>
      <c r="AG1593" s="11">
        <f t="shared" si="76"/>
        <v>43234</v>
      </c>
      <c r="AH1593" s="11">
        <f t="shared" si="75"/>
        <v>43236</v>
      </c>
    </row>
    <row r="1594" spans="30:34">
      <c r="AD1594" s="10" t="s">
        <v>56</v>
      </c>
      <c r="AE1594" s="11">
        <v>43230</v>
      </c>
      <c r="AF1594" s="12">
        <f t="shared" si="74"/>
        <v>5</v>
      </c>
      <c r="AG1594" s="11">
        <f t="shared" si="76"/>
        <v>43235</v>
      </c>
      <c r="AH1594" s="11">
        <f t="shared" si="75"/>
        <v>43237</v>
      </c>
    </row>
    <row r="1595" spans="30:34">
      <c r="AD1595" s="10" t="s">
        <v>57</v>
      </c>
      <c r="AE1595" s="11">
        <v>43231</v>
      </c>
      <c r="AF1595" s="12">
        <f t="shared" si="74"/>
        <v>6</v>
      </c>
      <c r="AG1595" s="11">
        <f t="shared" si="76"/>
        <v>43236</v>
      </c>
      <c r="AH1595" s="11">
        <f t="shared" si="75"/>
        <v>43238</v>
      </c>
    </row>
    <row r="1596" spans="30:34">
      <c r="AD1596" s="10" t="s">
        <v>58</v>
      </c>
      <c r="AE1596" s="11">
        <v>43232</v>
      </c>
      <c r="AF1596" s="12">
        <f t="shared" si="74"/>
        <v>7</v>
      </c>
      <c r="AG1596" s="11">
        <f t="shared" si="76"/>
        <v>43237</v>
      </c>
      <c r="AH1596" s="11">
        <f t="shared" si="75"/>
        <v>43241</v>
      </c>
    </row>
    <row r="1597" spans="30:34">
      <c r="AD1597" s="10" t="s">
        <v>52</v>
      </c>
      <c r="AE1597" s="11">
        <v>43233</v>
      </c>
      <c r="AF1597" s="12">
        <f t="shared" si="74"/>
        <v>1</v>
      </c>
      <c r="AG1597" s="11">
        <f t="shared" si="76"/>
        <v>43237</v>
      </c>
      <c r="AH1597" s="11">
        <f t="shared" si="75"/>
        <v>43241</v>
      </c>
    </row>
    <row r="1598" spans="30:34">
      <c r="AD1598" s="10" t="s">
        <v>53</v>
      </c>
      <c r="AE1598" s="11">
        <v>43234</v>
      </c>
      <c r="AF1598" s="12">
        <f t="shared" si="74"/>
        <v>2</v>
      </c>
      <c r="AG1598" s="11">
        <f t="shared" si="76"/>
        <v>43238</v>
      </c>
      <c r="AH1598" s="11">
        <f t="shared" si="75"/>
        <v>43242</v>
      </c>
    </row>
    <row r="1599" spans="30:34">
      <c r="AD1599" s="10" t="s">
        <v>54</v>
      </c>
      <c r="AE1599" s="11">
        <v>43235</v>
      </c>
      <c r="AF1599" s="12">
        <f t="shared" si="74"/>
        <v>3</v>
      </c>
      <c r="AG1599" s="11">
        <f t="shared" si="76"/>
        <v>43241</v>
      </c>
      <c r="AH1599" s="11">
        <f t="shared" si="75"/>
        <v>43243</v>
      </c>
    </row>
    <row r="1600" spans="30:34">
      <c r="AD1600" s="10" t="s">
        <v>55</v>
      </c>
      <c r="AE1600" s="11">
        <v>43236</v>
      </c>
      <c r="AF1600" s="12">
        <f t="shared" si="74"/>
        <v>4</v>
      </c>
      <c r="AG1600" s="11">
        <f t="shared" si="76"/>
        <v>43241</v>
      </c>
      <c r="AH1600" s="11">
        <f t="shared" si="75"/>
        <v>43243</v>
      </c>
    </row>
    <row r="1601" spans="29:34">
      <c r="AD1601" s="10" t="s">
        <v>56</v>
      </c>
      <c r="AE1601" s="11">
        <v>43237</v>
      </c>
      <c r="AF1601" s="12">
        <f t="shared" si="74"/>
        <v>5</v>
      </c>
      <c r="AG1601" s="11">
        <f t="shared" si="76"/>
        <v>43242</v>
      </c>
      <c r="AH1601" s="11">
        <f t="shared" si="75"/>
        <v>43244</v>
      </c>
    </row>
    <row r="1602" spans="29:34">
      <c r="AD1602" s="10" t="s">
        <v>57</v>
      </c>
      <c r="AE1602" s="11">
        <v>43238</v>
      </c>
      <c r="AF1602" s="12">
        <f t="shared" si="74"/>
        <v>6</v>
      </c>
      <c r="AG1602" s="11">
        <f t="shared" si="76"/>
        <v>43243</v>
      </c>
      <c r="AH1602" s="11">
        <f t="shared" si="75"/>
        <v>43245</v>
      </c>
    </row>
    <row r="1603" spans="29:34">
      <c r="AD1603" s="10" t="s">
        <v>58</v>
      </c>
      <c r="AE1603" s="11">
        <v>43239</v>
      </c>
      <c r="AF1603" s="12">
        <f t="shared" si="74"/>
        <v>7</v>
      </c>
      <c r="AG1603" s="11">
        <f t="shared" si="76"/>
        <v>43244</v>
      </c>
      <c r="AH1603" s="11">
        <f t="shared" si="75"/>
        <v>43249</v>
      </c>
    </row>
    <row r="1604" spans="29:34">
      <c r="AD1604" s="10" t="s">
        <v>52</v>
      </c>
      <c r="AE1604" s="11">
        <v>43240</v>
      </c>
      <c r="AF1604" s="12">
        <f t="shared" si="74"/>
        <v>1</v>
      </c>
      <c r="AG1604" s="11">
        <f t="shared" si="76"/>
        <v>43244</v>
      </c>
      <c r="AH1604" s="11">
        <f t="shared" si="75"/>
        <v>43249</v>
      </c>
    </row>
    <row r="1605" spans="29:34">
      <c r="AD1605" s="10" t="s">
        <v>53</v>
      </c>
      <c r="AE1605" s="11">
        <v>43241</v>
      </c>
      <c r="AF1605" s="12">
        <f t="shared" ref="AF1605:AF1668" si="77">WEEKDAY(AE1605)</f>
        <v>2</v>
      </c>
      <c r="AG1605" s="11">
        <f t="shared" si="76"/>
        <v>43245</v>
      </c>
      <c r="AH1605" s="11">
        <f t="shared" ref="AH1605:AH1668" si="78">IFERROR((WORKDAY(AG1605, 2, AC$4:AC$53)), "")</f>
        <v>43250</v>
      </c>
    </row>
    <row r="1606" spans="29:34">
      <c r="AC1606" s="11" t="s">
        <v>51</v>
      </c>
      <c r="AD1606" s="10" t="s">
        <v>54</v>
      </c>
      <c r="AE1606" s="11">
        <v>43242</v>
      </c>
      <c r="AF1606" s="12">
        <f t="shared" si="77"/>
        <v>3</v>
      </c>
      <c r="AG1606" s="11">
        <f>AE1608+(VLOOKUP(AF1608, $AJ$4:$AK$10, 2, FALSE))</f>
        <v>43249</v>
      </c>
      <c r="AH1606" s="11">
        <f t="shared" si="78"/>
        <v>43251</v>
      </c>
    </row>
    <row r="1607" spans="29:34">
      <c r="AD1607" s="10" t="s">
        <v>55</v>
      </c>
      <c r="AE1607" s="11">
        <v>43243</v>
      </c>
      <c r="AF1607" s="12">
        <f t="shared" si="77"/>
        <v>4</v>
      </c>
      <c r="AG1607" s="11">
        <v>43249</v>
      </c>
      <c r="AH1607" s="11">
        <f t="shared" si="78"/>
        <v>43251</v>
      </c>
    </row>
    <row r="1608" spans="29:34">
      <c r="AD1608" s="10" t="s">
        <v>56</v>
      </c>
      <c r="AE1608" s="11">
        <v>43244</v>
      </c>
      <c r="AF1608" s="12">
        <f t="shared" si="77"/>
        <v>5</v>
      </c>
      <c r="AG1608" s="11">
        <v>43250</v>
      </c>
      <c r="AH1608" s="11">
        <f t="shared" si="78"/>
        <v>43252</v>
      </c>
    </row>
    <row r="1609" spans="29:34">
      <c r="AD1609" s="10" t="s">
        <v>57</v>
      </c>
      <c r="AE1609" s="11">
        <v>43245</v>
      </c>
      <c r="AF1609" s="12">
        <f t="shared" si="77"/>
        <v>6</v>
      </c>
      <c r="AG1609" s="11">
        <f>AE1610+(VLOOKUP(AF1610, $AJ$4:$AK$10, 2, FALSE))</f>
        <v>43251</v>
      </c>
      <c r="AH1609" s="11">
        <f t="shared" si="78"/>
        <v>43255</v>
      </c>
    </row>
    <row r="1610" spans="29:34">
      <c r="AD1610" s="10" t="s">
        <v>58</v>
      </c>
      <c r="AE1610" s="11">
        <v>43246</v>
      </c>
      <c r="AF1610" s="12">
        <f t="shared" si="77"/>
        <v>7</v>
      </c>
      <c r="AG1610" s="11">
        <f>AE1612+(VLOOKUP(AF1612, $AJ$4:$AK$10, 2, FALSE))</f>
        <v>43252</v>
      </c>
      <c r="AH1610" s="11">
        <f t="shared" si="78"/>
        <v>43256</v>
      </c>
    </row>
    <row r="1611" spans="29:34">
      <c r="AD1611" s="10" t="s">
        <v>52</v>
      </c>
      <c r="AE1611" s="11">
        <v>43247</v>
      </c>
      <c r="AF1611" s="12">
        <f t="shared" si="77"/>
        <v>1</v>
      </c>
      <c r="AG1611" s="11">
        <v>43252</v>
      </c>
      <c r="AH1611" s="11">
        <f t="shared" si="78"/>
        <v>43256</v>
      </c>
    </row>
    <row r="1612" spans="29:34">
      <c r="AD1612" s="10" t="s">
        <v>53</v>
      </c>
      <c r="AE1612" s="11">
        <v>43248</v>
      </c>
      <c r="AF1612" s="12">
        <f t="shared" si="77"/>
        <v>2</v>
      </c>
      <c r="AG1612" s="11">
        <v>43252</v>
      </c>
      <c r="AH1612" s="11">
        <f t="shared" si="78"/>
        <v>43256</v>
      </c>
    </row>
    <row r="1613" spans="29:34">
      <c r="AD1613" s="10" t="s">
        <v>54</v>
      </c>
      <c r="AE1613" s="11">
        <v>43249</v>
      </c>
      <c r="AF1613" s="12">
        <f t="shared" si="77"/>
        <v>3</v>
      </c>
      <c r="AG1613" s="11">
        <f t="shared" si="76"/>
        <v>43255</v>
      </c>
      <c r="AH1613" s="11">
        <f t="shared" si="78"/>
        <v>43257</v>
      </c>
    </row>
    <row r="1614" spans="29:34">
      <c r="AD1614" s="10" t="s">
        <v>55</v>
      </c>
      <c r="AE1614" s="11">
        <v>43250</v>
      </c>
      <c r="AF1614" s="12">
        <f t="shared" si="77"/>
        <v>4</v>
      </c>
      <c r="AG1614" s="11">
        <f t="shared" si="76"/>
        <v>43255</v>
      </c>
      <c r="AH1614" s="11">
        <f t="shared" si="78"/>
        <v>43257</v>
      </c>
    </row>
    <row r="1615" spans="29:34">
      <c r="AD1615" s="10" t="s">
        <v>56</v>
      </c>
      <c r="AE1615" s="11">
        <v>43251</v>
      </c>
      <c r="AF1615" s="12">
        <f t="shared" si="77"/>
        <v>5</v>
      </c>
      <c r="AG1615" s="11">
        <f t="shared" si="76"/>
        <v>43256</v>
      </c>
      <c r="AH1615" s="11">
        <f t="shared" si="78"/>
        <v>43258</v>
      </c>
    </row>
    <row r="1616" spans="29:34">
      <c r="AD1616" s="10" t="s">
        <v>57</v>
      </c>
      <c r="AE1616" s="11">
        <v>43252</v>
      </c>
      <c r="AF1616" s="12">
        <f t="shared" si="77"/>
        <v>6</v>
      </c>
      <c r="AG1616" s="11">
        <f t="shared" si="76"/>
        <v>43257</v>
      </c>
      <c r="AH1616" s="11">
        <f t="shared" si="78"/>
        <v>43259</v>
      </c>
    </row>
    <row r="1617" spans="30:34">
      <c r="AD1617" s="10" t="s">
        <v>58</v>
      </c>
      <c r="AE1617" s="11">
        <v>43253</v>
      </c>
      <c r="AF1617" s="12">
        <f t="shared" si="77"/>
        <v>7</v>
      </c>
      <c r="AG1617" s="11">
        <f t="shared" si="76"/>
        <v>43258</v>
      </c>
      <c r="AH1617" s="11">
        <f t="shared" si="78"/>
        <v>43262</v>
      </c>
    </row>
    <row r="1618" spans="30:34">
      <c r="AD1618" s="10" t="s">
        <v>52</v>
      </c>
      <c r="AE1618" s="11">
        <v>43254</v>
      </c>
      <c r="AF1618" s="12">
        <f t="shared" si="77"/>
        <v>1</v>
      </c>
      <c r="AG1618" s="11">
        <f t="shared" si="76"/>
        <v>43258</v>
      </c>
      <c r="AH1618" s="11">
        <f t="shared" si="78"/>
        <v>43262</v>
      </c>
    </row>
    <row r="1619" spans="30:34">
      <c r="AD1619" s="10" t="s">
        <v>53</v>
      </c>
      <c r="AE1619" s="11">
        <v>43255</v>
      </c>
      <c r="AF1619" s="12">
        <f t="shared" si="77"/>
        <v>2</v>
      </c>
      <c r="AG1619" s="11">
        <f t="shared" si="76"/>
        <v>43259</v>
      </c>
      <c r="AH1619" s="11">
        <f t="shared" si="78"/>
        <v>43263</v>
      </c>
    </row>
    <row r="1620" spans="30:34">
      <c r="AD1620" s="10" t="s">
        <v>54</v>
      </c>
      <c r="AE1620" s="11">
        <v>43256</v>
      </c>
      <c r="AF1620" s="12">
        <f t="shared" si="77"/>
        <v>3</v>
      </c>
      <c r="AG1620" s="11">
        <f t="shared" si="76"/>
        <v>43262</v>
      </c>
      <c r="AH1620" s="11">
        <f t="shared" si="78"/>
        <v>43264</v>
      </c>
    </row>
    <row r="1621" spans="30:34">
      <c r="AD1621" s="10" t="s">
        <v>55</v>
      </c>
      <c r="AE1621" s="11">
        <v>43257</v>
      </c>
      <c r="AF1621" s="12">
        <f t="shared" si="77"/>
        <v>4</v>
      </c>
      <c r="AG1621" s="11">
        <f t="shared" si="76"/>
        <v>43262</v>
      </c>
      <c r="AH1621" s="11">
        <f t="shared" si="78"/>
        <v>43264</v>
      </c>
    </row>
    <row r="1622" spans="30:34">
      <c r="AD1622" s="10" t="s">
        <v>56</v>
      </c>
      <c r="AE1622" s="11">
        <v>43258</v>
      </c>
      <c r="AF1622" s="12">
        <f t="shared" si="77"/>
        <v>5</v>
      </c>
      <c r="AG1622" s="11">
        <f t="shared" si="76"/>
        <v>43263</v>
      </c>
      <c r="AH1622" s="11">
        <f t="shared" si="78"/>
        <v>43265</v>
      </c>
    </row>
    <row r="1623" spans="30:34">
      <c r="AD1623" s="10" t="s">
        <v>57</v>
      </c>
      <c r="AE1623" s="11">
        <v>43259</v>
      </c>
      <c r="AF1623" s="12">
        <f t="shared" si="77"/>
        <v>6</v>
      </c>
      <c r="AG1623" s="11">
        <f t="shared" si="76"/>
        <v>43264</v>
      </c>
      <c r="AH1623" s="11">
        <f t="shared" si="78"/>
        <v>43266</v>
      </c>
    </row>
    <row r="1624" spans="30:34">
      <c r="AD1624" s="10" t="s">
        <v>58</v>
      </c>
      <c r="AE1624" s="11">
        <v>43260</v>
      </c>
      <c r="AF1624" s="12">
        <f t="shared" si="77"/>
        <v>7</v>
      </c>
      <c r="AG1624" s="11">
        <f t="shared" si="76"/>
        <v>43265</v>
      </c>
      <c r="AH1624" s="11">
        <f t="shared" si="78"/>
        <v>43269</v>
      </c>
    </row>
    <row r="1625" spans="30:34">
      <c r="AD1625" s="10" t="s">
        <v>52</v>
      </c>
      <c r="AE1625" s="11">
        <v>43261</v>
      </c>
      <c r="AF1625" s="12">
        <f t="shared" si="77"/>
        <v>1</v>
      </c>
      <c r="AG1625" s="11">
        <f t="shared" si="76"/>
        <v>43265</v>
      </c>
      <c r="AH1625" s="11">
        <f t="shared" si="78"/>
        <v>43269</v>
      </c>
    </row>
    <row r="1626" spans="30:34">
      <c r="AD1626" s="10" t="s">
        <v>53</v>
      </c>
      <c r="AE1626" s="11">
        <v>43262</v>
      </c>
      <c r="AF1626" s="12">
        <f t="shared" si="77"/>
        <v>2</v>
      </c>
      <c r="AG1626" s="11">
        <f t="shared" si="76"/>
        <v>43266</v>
      </c>
      <c r="AH1626" s="11">
        <f t="shared" si="78"/>
        <v>43270</v>
      </c>
    </row>
    <row r="1627" spans="30:34">
      <c r="AD1627" s="10" t="s">
        <v>54</v>
      </c>
      <c r="AE1627" s="11">
        <v>43263</v>
      </c>
      <c r="AF1627" s="12">
        <f t="shared" si="77"/>
        <v>3</v>
      </c>
      <c r="AG1627" s="11">
        <f t="shared" si="76"/>
        <v>43269</v>
      </c>
      <c r="AH1627" s="11">
        <f t="shared" si="78"/>
        <v>43271</v>
      </c>
    </row>
    <row r="1628" spans="30:34">
      <c r="AD1628" s="10" t="s">
        <v>55</v>
      </c>
      <c r="AE1628" s="11">
        <v>43264</v>
      </c>
      <c r="AF1628" s="12">
        <f t="shared" si="77"/>
        <v>4</v>
      </c>
      <c r="AG1628" s="11">
        <f t="shared" si="76"/>
        <v>43269</v>
      </c>
      <c r="AH1628" s="11">
        <f t="shared" si="78"/>
        <v>43271</v>
      </c>
    </row>
    <row r="1629" spans="30:34">
      <c r="AD1629" s="10" t="s">
        <v>56</v>
      </c>
      <c r="AE1629" s="11">
        <v>43265</v>
      </c>
      <c r="AF1629" s="12">
        <f t="shared" si="77"/>
        <v>5</v>
      </c>
      <c r="AG1629" s="11">
        <f t="shared" si="76"/>
        <v>43270</v>
      </c>
      <c r="AH1629" s="11">
        <f t="shared" si="78"/>
        <v>43272</v>
      </c>
    </row>
    <row r="1630" spans="30:34">
      <c r="AD1630" s="10" t="s">
        <v>57</v>
      </c>
      <c r="AE1630" s="11">
        <v>43266</v>
      </c>
      <c r="AF1630" s="12">
        <f t="shared" si="77"/>
        <v>6</v>
      </c>
      <c r="AG1630" s="11">
        <f t="shared" ref="AG1630:AG1693" si="79">AE1630+(VLOOKUP(AF1630, $AJ$4:$AK$10, 2, FALSE))</f>
        <v>43271</v>
      </c>
      <c r="AH1630" s="11">
        <f t="shared" si="78"/>
        <v>43273</v>
      </c>
    </row>
    <row r="1631" spans="30:34">
      <c r="AD1631" s="10" t="s">
        <v>58</v>
      </c>
      <c r="AE1631" s="11">
        <v>43267</v>
      </c>
      <c r="AF1631" s="12">
        <f t="shared" si="77"/>
        <v>7</v>
      </c>
      <c r="AG1631" s="11">
        <f t="shared" si="79"/>
        <v>43272</v>
      </c>
      <c r="AH1631" s="11">
        <f t="shared" si="78"/>
        <v>43276</v>
      </c>
    </row>
    <row r="1632" spans="30:34">
      <c r="AD1632" s="10" t="s">
        <v>52</v>
      </c>
      <c r="AE1632" s="11">
        <v>43268</v>
      </c>
      <c r="AF1632" s="12">
        <f t="shared" si="77"/>
        <v>1</v>
      </c>
      <c r="AG1632" s="11">
        <f t="shared" si="79"/>
        <v>43272</v>
      </c>
      <c r="AH1632" s="11">
        <f t="shared" si="78"/>
        <v>43276</v>
      </c>
    </row>
    <row r="1633" spans="29:34">
      <c r="AD1633" s="10" t="s">
        <v>53</v>
      </c>
      <c r="AE1633" s="11">
        <v>43269</v>
      </c>
      <c r="AF1633" s="12">
        <f t="shared" si="77"/>
        <v>2</v>
      </c>
      <c r="AG1633" s="11">
        <f t="shared" si="79"/>
        <v>43273</v>
      </c>
      <c r="AH1633" s="11">
        <f t="shared" si="78"/>
        <v>43277</v>
      </c>
    </row>
    <row r="1634" spans="29:34">
      <c r="AD1634" s="10" t="s">
        <v>54</v>
      </c>
      <c r="AE1634" s="11">
        <v>43270</v>
      </c>
      <c r="AF1634" s="12">
        <f t="shared" si="77"/>
        <v>3</v>
      </c>
      <c r="AG1634" s="11">
        <f t="shared" si="79"/>
        <v>43276</v>
      </c>
      <c r="AH1634" s="11">
        <f t="shared" si="78"/>
        <v>43278</v>
      </c>
    </row>
    <row r="1635" spans="29:34">
      <c r="AD1635" s="10" t="s">
        <v>55</v>
      </c>
      <c r="AE1635" s="11">
        <v>43271</v>
      </c>
      <c r="AF1635" s="12">
        <f t="shared" si="77"/>
        <v>4</v>
      </c>
      <c r="AG1635" s="11">
        <f t="shared" si="79"/>
        <v>43276</v>
      </c>
      <c r="AH1635" s="11">
        <f t="shared" si="78"/>
        <v>43278</v>
      </c>
    </row>
    <row r="1636" spans="29:34">
      <c r="AD1636" s="10" t="s">
        <v>56</v>
      </c>
      <c r="AE1636" s="11">
        <v>43272</v>
      </c>
      <c r="AF1636" s="12">
        <f t="shared" si="77"/>
        <v>5</v>
      </c>
      <c r="AG1636" s="11">
        <f t="shared" si="79"/>
        <v>43277</v>
      </c>
      <c r="AH1636" s="11">
        <f t="shared" si="78"/>
        <v>43279</v>
      </c>
    </row>
    <row r="1637" spans="29:34">
      <c r="AD1637" s="10" t="s">
        <v>57</v>
      </c>
      <c r="AE1637" s="11">
        <v>43273</v>
      </c>
      <c r="AF1637" s="12">
        <f t="shared" si="77"/>
        <v>6</v>
      </c>
      <c r="AG1637" s="11">
        <f t="shared" si="79"/>
        <v>43278</v>
      </c>
      <c r="AH1637" s="11">
        <f t="shared" si="78"/>
        <v>43280</v>
      </c>
    </row>
    <row r="1638" spans="29:34">
      <c r="AD1638" s="10" t="s">
        <v>58</v>
      </c>
      <c r="AE1638" s="11">
        <v>43274</v>
      </c>
      <c r="AF1638" s="12">
        <f t="shared" si="77"/>
        <v>7</v>
      </c>
      <c r="AG1638" s="11">
        <f t="shared" si="79"/>
        <v>43279</v>
      </c>
      <c r="AH1638" s="11">
        <f t="shared" si="78"/>
        <v>43283</v>
      </c>
    </row>
    <row r="1639" spans="29:34">
      <c r="AD1639" s="10" t="s">
        <v>52</v>
      </c>
      <c r="AE1639" s="11">
        <v>43275</v>
      </c>
      <c r="AF1639" s="12">
        <f t="shared" si="77"/>
        <v>1</v>
      </c>
      <c r="AG1639" s="11">
        <f t="shared" si="79"/>
        <v>43279</v>
      </c>
      <c r="AH1639" s="11">
        <f t="shared" si="78"/>
        <v>43283</v>
      </c>
    </row>
    <row r="1640" spans="29:34">
      <c r="AD1640" s="10" t="s">
        <v>53</v>
      </c>
      <c r="AE1640" s="11">
        <v>43276</v>
      </c>
      <c r="AF1640" s="12">
        <f t="shared" si="77"/>
        <v>2</v>
      </c>
      <c r="AG1640" s="11">
        <f t="shared" si="79"/>
        <v>43280</v>
      </c>
      <c r="AH1640" s="11">
        <f t="shared" si="78"/>
        <v>43284</v>
      </c>
    </row>
    <row r="1641" spans="29:34">
      <c r="AD1641" s="10" t="s">
        <v>54</v>
      </c>
      <c r="AE1641" s="11">
        <v>43277</v>
      </c>
      <c r="AF1641" s="12">
        <f t="shared" si="77"/>
        <v>3</v>
      </c>
      <c r="AG1641" s="11">
        <f t="shared" si="79"/>
        <v>43283</v>
      </c>
      <c r="AH1641" s="11">
        <f t="shared" si="78"/>
        <v>43286</v>
      </c>
    </row>
    <row r="1642" spans="29:34">
      <c r="AD1642" s="10" t="s">
        <v>55</v>
      </c>
      <c r="AE1642" s="11">
        <v>43278</v>
      </c>
      <c r="AF1642" s="12">
        <f t="shared" si="77"/>
        <v>4</v>
      </c>
      <c r="AG1642" s="11">
        <f t="shared" si="79"/>
        <v>43283</v>
      </c>
      <c r="AH1642" s="11">
        <f t="shared" si="78"/>
        <v>43286</v>
      </c>
    </row>
    <row r="1643" spans="29:34">
      <c r="AD1643" s="10" t="s">
        <v>56</v>
      </c>
      <c r="AE1643" s="11">
        <v>43279</v>
      </c>
      <c r="AF1643" s="12">
        <f t="shared" si="77"/>
        <v>5</v>
      </c>
      <c r="AG1643" s="11">
        <f t="shared" si="79"/>
        <v>43284</v>
      </c>
      <c r="AH1643" s="11">
        <f t="shared" si="78"/>
        <v>43287</v>
      </c>
    </row>
    <row r="1644" spans="29:34">
      <c r="AC1644" s="11" t="s">
        <v>51</v>
      </c>
      <c r="AD1644" s="10" t="s">
        <v>57</v>
      </c>
      <c r="AE1644" s="11">
        <v>43280</v>
      </c>
      <c r="AF1644" s="12">
        <f t="shared" si="77"/>
        <v>6</v>
      </c>
      <c r="AG1644" s="11">
        <f>AE1646+(VLOOKUP(AF1646, $AJ$4:$AK$10, 2, FALSE))</f>
        <v>43286</v>
      </c>
      <c r="AH1644" s="11">
        <f t="shared" si="78"/>
        <v>43290</v>
      </c>
    </row>
    <row r="1645" spans="29:34">
      <c r="AD1645" s="10" t="s">
        <v>58</v>
      </c>
      <c r="AE1645" s="11">
        <v>43281</v>
      </c>
      <c r="AF1645" s="12">
        <f t="shared" si="77"/>
        <v>7</v>
      </c>
      <c r="AG1645" s="11">
        <f>AE1647+(VLOOKUP(AF1647, $AJ$4:$AK$10, 2, FALSE))</f>
        <v>43287</v>
      </c>
      <c r="AH1645" s="11">
        <f t="shared" si="78"/>
        <v>43291</v>
      </c>
    </row>
    <row r="1646" spans="29:34">
      <c r="AD1646" s="10" t="s">
        <v>52</v>
      </c>
      <c r="AE1646" s="11">
        <v>43282</v>
      </c>
      <c r="AF1646" s="12">
        <f t="shared" si="77"/>
        <v>1</v>
      </c>
      <c r="AG1646" s="11">
        <v>43287</v>
      </c>
      <c r="AH1646" s="11">
        <f t="shared" si="78"/>
        <v>43291</v>
      </c>
    </row>
    <row r="1647" spans="29:34">
      <c r="AD1647" s="10" t="s">
        <v>53</v>
      </c>
      <c r="AE1647" s="11">
        <v>43283</v>
      </c>
      <c r="AF1647" s="12">
        <f t="shared" si="77"/>
        <v>2</v>
      </c>
      <c r="AG1647" s="11">
        <v>43290</v>
      </c>
      <c r="AH1647" s="11">
        <f t="shared" si="78"/>
        <v>43292</v>
      </c>
    </row>
    <row r="1648" spans="29:34">
      <c r="AD1648" s="10" t="s">
        <v>54</v>
      </c>
      <c r="AE1648" s="11">
        <v>43284</v>
      </c>
      <c r="AF1648" s="12">
        <f t="shared" si="77"/>
        <v>3</v>
      </c>
      <c r="AG1648" s="11">
        <f t="shared" si="79"/>
        <v>43290</v>
      </c>
      <c r="AH1648" s="11">
        <f t="shared" si="78"/>
        <v>43292</v>
      </c>
    </row>
    <row r="1649" spans="30:34">
      <c r="AD1649" s="10" t="s">
        <v>55</v>
      </c>
      <c r="AE1649" s="11">
        <v>43285</v>
      </c>
      <c r="AF1649" s="12">
        <f t="shared" si="77"/>
        <v>4</v>
      </c>
      <c r="AG1649" s="11">
        <f t="shared" si="79"/>
        <v>43290</v>
      </c>
      <c r="AH1649" s="11">
        <f t="shared" si="78"/>
        <v>43292</v>
      </c>
    </row>
    <row r="1650" spans="30:34">
      <c r="AD1650" s="10" t="s">
        <v>56</v>
      </c>
      <c r="AE1650" s="11">
        <v>43286</v>
      </c>
      <c r="AF1650" s="12">
        <f t="shared" si="77"/>
        <v>5</v>
      </c>
      <c r="AG1650" s="11">
        <f t="shared" si="79"/>
        <v>43291</v>
      </c>
      <c r="AH1650" s="11">
        <f t="shared" si="78"/>
        <v>43293</v>
      </c>
    </row>
    <row r="1651" spans="30:34">
      <c r="AD1651" s="10" t="s">
        <v>57</v>
      </c>
      <c r="AE1651" s="11">
        <v>43287</v>
      </c>
      <c r="AF1651" s="12">
        <f t="shared" si="77"/>
        <v>6</v>
      </c>
      <c r="AG1651" s="11">
        <f t="shared" si="79"/>
        <v>43292</v>
      </c>
      <c r="AH1651" s="11">
        <f t="shared" si="78"/>
        <v>43294</v>
      </c>
    </row>
    <row r="1652" spans="30:34">
      <c r="AD1652" s="10" t="s">
        <v>58</v>
      </c>
      <c r="AE1652" s="11">
        <v>43288</v>
      </c>
      <c r="AF1652" s="12">
        <f t="shared" si="77"/>
        <v>7</v>
      </c>
      <c r="AG1652" s="11">
        <f t="shared" si="79"/>
        <v>43293</v>
      </c>
      <c r="AH1652" s="11">
        <f t="shared" si="78"/>
        <v>43297</v>
      </c>
    </row>
    <row r="1653" spans="30:34">
      <c r="AD1653" s="10" t="s">
        <v>52</v>
      </c>
      <c r="AE1653" s="11">
        <v>43289</v>
      </c>
      <c r="AF1653" s="12">
        <f t="shared" si="77"/>
        <v>1</v>
      </c>
      <c r="AG1653" s="11">
        <f t="shared" si="79"/>
        <v>43293</v>
      </c>
      <c r="AH1653" s="11">
        <f t="shared" si="78"/>
        <v>43297</v>
      </c>
    </row>
    <row r="1654" spans="30:34">
      <c r="AD1654" s="10" t="s">
        <v>53</v>
      </c>
      <c r="AE1654" s="11">
        <v>43290</v>
      </c>
      <c r="AF1654" s="12">
        <f t="shared" si="77"/>
        <v>2</v>
      </c>
      <c r="AG1654" s="11">
        <f t="shared" si="79"/>
        <v>43294</v>
      </c>
      <c r="AH1654" s="11">
        <f t="shared" si="78"/>
        <v>43298</v>
      </c>
    </row>
    <row r="1655" spans="30:34">
      <c r="AD1655" s="10" t="s">
        <v>54</v>
      </c>
      <c r="AE1655" s="11">
        <v>43291</v>
      </c>
      <c r="AF1655" s="12">
        <f t="shared" si="77"/>
        <v>3</v>
      </c>
      <c r="AG1655" s="11">
        <f t="shared" si="79"/>
        <v>43297</v>
      </c>
      <c r="AH1655" s="11">
        <f t="shared" si="78"/>
        <v>43299</v>
      </c>
    </row>
    <row r="1656" spans="30:34">
      <c r="AD1656" s="10" t="s">
        <v>55</v>
      </c>
      <c r="AE1656" s="11">
        <v>43292</v>
      </c>
      <c r="AF1656" s="12">
        <f t="shared" si="77"/>
        <v>4</v>
      </c>
      <c r="AG1656" s="11">
        <f t="shared" si="79"/>
        <v>43297</v>
      </c>
      <c r="AH1656" s="11">
        <f t="shared" si="78"/>
        <v>43299</v>
      </c>
    </row>
    <row r="1657" spans="30:34">
      <c r="AD1657" s="10" t="s">
        <v>56</v>
      </c>
      <c r="AE1657" s="11">
        <v>43293</v>
      </c>
      <c r="AF1657" s="12">
        <f t="shared" si="77"/>
        <v>5</v>
      </c>
      <c r="AG1657" s="11">
        <f t="shared" si="79"/>
        <v>43298</v>
      </c>
      <c r="AH1657" s="11">
        <f t="shared" si="78"/>
        <v>43300</v>
      </c>
    </row>
    <row r="1658" spans="30:34">
      <c r="AD1658" s="10" t="s">
        <v>57</v>
      </c>
      <c r="AE1658" s="11">
        <v>43294</v>
      </c>
      <c r="AF1658" s="12">
        <f t="shared" si="77"/>
        <v>6</v>
      </c>
      <c r="AG1658" s="11">
        <f t="shared" si="79"/>
        <v>43299</v>
      </c>
      <c r="AH1658" s="11">
        <f t="shared" si="78"/>
        <v>43301</v>
      </c>
    </row>
    <row r="1659" spans="30:34">
      <c r="AD1659" s="10" t="s">
        <v>58</v>
      </c>
      <c r="AE1659" s="11">
        <v>43295</v>
      </c>
      <c r="AF1659" s="12">
        <f t="shared" si="77"/>
        <v>7</v>
      </c>
      <c r="AG1659" s="11">
        <f t="shared" si="79"/>
        <v>43300</v>
      </c>
      <c r="AH1659" s="11">
        <f t="shared" si="78"/>
        <v>43304</v>
      </c>
    </row>
    <row r="1660" spans="30:34">
      <c r="AD1660" s="10" t="s">
        <v>52</v>
      </c>
      <c r="AE1660" s="11">
        <v>43296</v>
      </c>
      <c r="AF1660" s="12">
        <f t="shared" si="77"/>
        <v>1</v>
      </c>
      <c r="AG1660" s="11">
        <f t="shared" si="79"/>
        <v>43300</v>
      </c>
      <c r="AH1660" s="11">
        <f t="shared" si="78"/>
        <v>43304</v>
      </c>
    </row>
    <row r="1661" spans="30:34">
      <c r="AD1661" s="10" t="s">
        <v>53</v>
      </c>
      <c r="AE1661" s="11">
        <v>43297</v>
      </c>
      <c r="AF1661" s="12">
        <f t="shared" si="77"/>
        <v>2</v>
      </c>
      <c r="AG1661" s="11">
        <f t="shared" si="79"/>
        <v>43301</v>
      </c>
      <c r="AH1661" s="11">
        <f t="shared" si="78"/>
        <v>43305</v>
      </c>
    </row>
    <row r="1662" spans="30:34">
      <c r="AD1662" s="10" t="s">
        <v>54</v>
      </c>
      <c r="AE1662" s="11">
        <v>43298</v>
      </c>
      <c r="AF1662" s="12">
        <f t="shared" si="77"/>
        <v>3</v>
      </c>
      <c r="AG1662" s="11">
        <f t="shared" si="79"/>
        <v>43304</v>
      </c>
      <c r="AH1662" s="11">
        <f t="shared" si="78"/>
        <v>43306</v>
      </c>
    </row>
    <row r="1663" spans="30:34">
      <c r="AD1663" s="10" t="s">
        <v>55</v>
      </c>
      <c r="AE1663" s="11">
        <v>43299</v>
      </c>
      <c r="AF1663" s="12">
        <f t="shared" si="77"/>
        <v>4</v>
      </c>
      <c r="AG1663" s="11">
        <f t="shared" si="79"/>
        <v>43304</v>
      </c>
      <c r="AH1663" s="11">
        <f t="shared" si="78"/>
        <v>43306</v>
      </c>
    </row>
    <row r="1664" spans="30:34">
      <c r="AD1664" s="10" t="s">
        <v>56</v>
      </c>
      <c r="AE1664" s="11">
        <v>43300</v>
      </c>
      <c r="AF1664" s="12">
        <f t="shared" si="77"/>
        <v>5</v>
      </c>
      <c r="AG1664" s="11">
        <f t="shared" si="79"/>
        <v>43305</v>
      </c>
      <c r="AH1664" s="11">
        <f t="shared" si="78"/>
        <v>43307</v>
      </c>
    </row>
    <row r="1665" spans="30:34">
      <c r="AD1665" s="10" t="s">
        <v>57</v>
      </c>
      <c r="AE1665" s="11">
        <v>43301</v>
      </c>
      <c r="AF1665" s="12">
        <f t="shared" si="77"/>
        <v>6</v>
      </c>
      <c r="AG1665" s="11">
        <f t="shared" si="79"/>
        <v>43306</v>
      </c>
      <c r="AH1665" s="11">
        <f t="shared" si="78"/>
        <v>43308</v>
      </c>
    </row>
    <row r="1666" spans="30:34">
      <c r="AD1666" s="10" t="s">
        <v>58</v>
      </c>
      <c r="AE1666" s="11">
        <v>43302</v>
      </c>
      <c r="AF1666" s="12">
        <f t="shared" si="77"/>
        <v>7</v>
      </c>
      <c r="AG1666" s="11">
        <f t="shared" si="79"/>
        <v>43307</v>
      </c>
      <c r="AH1666" s="11">
        <f t="shared" si="78"/>
        <v>43311</v>
      </c>
    </row>
    <row r="1667" spans="30:34">
      <c r="AD1667" s="10" t="s">
        <v>52</v>
      </c>
      <c r="AE1667" s="11">
        <v>43303</v>
      </c>
      <c r="AF1667" s="12">
        <f t="shared" si="77"/>
        <v>1</v>
      </c>
      <c r="AG1667" s="11">
        <f t="shared" si="79"/>
        <v>43307</v>
      </c>
      <c r="AH1667" s="11">
        <f t="shared" si="78"/>
        <v>43311</v>
      </c>
    </row>
    <row r="1668" spans="30:34">
      <c r="AD1668" s="10" t="s">
        <v>53</v>
      </c>
      <c r="AE1668" s="11">
        <v>43304</v>
      </c>
      <c r="AF1668" s="12">
        <f t="shared" si="77"/>
        <v>2</v>
      </c>
      <c r="AG1668" s="11">
        <f t="shared" si="79"/>
        <v>43308</v>
      </c>
      <c r="AH1668" s="11">
        <f t="shared" si="78"/>
        <v>43312</v>
      </c>
    </row>
    <row r="1669" spans="30:34">
      <c r="AD1669" s="10" t="s">
        <v>54</v>
      </c>
      <c r="AE1669" s="11">
        <v>43305</v>
      </c>
      <c r="AF1669" s="12">
        <f t="shared" ref="AF1669:AF1732" si="80">WEEKDAY(AE1669)</f>
        <v>3</v>
      </c>
      <c r="AG1669" s="11">
        <f t="shared" si="79"/>
        <v>43311</v>
      </c>
      <c r="AH1669" s="11">
        <f t="shared" ref="AH1669:AH1732" si="81">IFERROR((WORKDAY(AG1669, 2, AC$4:AC$53)), "")</f>
        <v>43313</v>
      </c>
    </row>
    <row r="1670" spans="30:34">
      <c r="AD1670" s="10" t="s">
        <v>55</v>
      </c>
      <c r="AE1670" s="11">
        <v>43306</v>
      </c>
      <c r="AF1670" s="12">
        <f t="shared" si="80"/>
        <v>4</v>
      </c>
      <c r="AG1670" s="11">
        <f t="shared" si="79"/>
        <v>43311</v>
      </c>
      <c r="AH1670" s="11">
        <f t="shared" si="81"/>
        <v>43313</v>
      </c>
    </row>
    <row r="1671" spans="30:34">
      <c r="AD1671" s="10" t="s">
        <v>56</v>
      </c>
      <c r="AE1671" s="11">
        <v>43307</v>
      </c>
      <c r="AF1671" s="12">
        <f t="shared" si="80"/>
        <v>5</v>
      </c>
      <c r="AG1671" s="11">
        <f t="shared" si="79"/>
        <v>43312</v>
      </c>
      <c r="AH1671" s="11">
        <f t="shared" si="81"/>
        <v>43314</v>
      </c>
    </row>
    <row r="1672" spans="30:34">
      <c r="AD1672" s="10" t="s">
        <v>57</v>
      </c>
      <c r="AE1672" s="11">
        <v>43308</v>
      </c>
      <c r="AF1672" s="12">
        <f t="shared" si="80"/>
        <v>6</v>
      </c>
      <c r="AG1672" s="11">
        <f t="shared" si="79"/>
        <v>43313</v>
      </c>
      <c r="AH1672" s="11">
        <f t="shared" si="81"/>
        <v>43315</v>
      </c>
    </row>
    <row r="1673" spans="30:34">
      <c r="AD1673" s="10" t="s">
        <v>58</v>
      </c>
      <c r="AE1673" s="11">
        <v>43309</v>
      </c>
      <c r="AF1673" s="12">
        <f t="shared" si="80"/>
        <v>7</v>
      </c>
      <c r="AG1673" s="11">
        <f t="shared" si="79"/>
        <v>43314</v>
      </c>
      <c r="AH1673" s="11">
        <f t="shared" si="81"/>
        <v>43318</v>
      </c>
    </row>
    <row r="1674" spans="30:34">
      <c r="AD1674" s="10" t="s">
        <v>52</v>
      </c>
      <c r="AE1674" s="11">
        <v>43310</v>
      </c>
      <c r="AF1674" s="12">
        <f t="shared" si="80"/>
        <v>1</v>
      </c>
      <c r="AG1674" s="11">
        <f t="shared" si="79"/>
        <v>43314</v>
      </c>
      <c r="AH1674" s="11">
        <f t="shared" si="81"/>
        <v>43318</v>
      </c>
    </row>
    <row r="1675" spans="30:34">
      <c r="AD1675" s="10" t="s">
        <v>53</v>
      </c>
      <c r="AE1675" s="11">
        <v>43311</v>
      </c>
      <c r="AF1675" s="12">
        <f t="shared" si="80"/>
        <v>2</v>
      </c>
      <c r="AG1675" s="11">
        <f t="shared" si="79"/>
        <v>43315</v>
      </c>
      <c r="AH1675" s="11">
        <f t="shared" si="81"/>
        <v>43319</v>
      </c>
    </row>
    <row r="1676" spans="30:34">
      <c r="AD1676" s="10" t="s">
        <v>54</v>
      </c>
      <c r="AE1676" s="11">
        <v>43312</v>
      </c>
      <c r="AF1676" s="12">
        <f t="shared" si="80"/>
        <v>3</v>
      </c>
      <c r="AG1676" s="11">
        <f t="shared" si="79"/>
        <v>43318</v>
      </c>
      <c r="AH1676" s="11">
        <f t="shared" si="81"/>
        <v>43320</v>
      </c>
    </row>
    <row r="1677" spans="30:34">
      <c r="AD1677" s="10" t="s">
        <v>55</v>
      </c>
      <c r="AE1677" s="11">
        <v>43313</v>
      </c>
      <c r="AF1677" s="12">
        <f t="shared" si="80"/>
        <v>4</v>
      </c>
      <c r="AG1677" s="11">
        <f t="shared" si="79"/>
        <v>43318</v>
      </c>
      <c r="AH1677" s="11">
        <f t="shared" si="81"/>
        <v>43320</v>
      </c>
    </row>
    <row r="1678" spans="30:34">
      <c r="AD1678" s="10" t="s">
        <v>56</v>
      </c>
      <c r="AE1678" s="11">
        <v>43314</v>
      </c>
      <c r="AF1678" s="12">
        <f t="shared" si="80"/>
        <v>5</v>
      </c>
      <c r="AG1678" s="11">
        <f t="shared" si="79"/>
        <v>43319</v>
      </c>
      <c r="AH1678" s="11">
        <f t="shared" si="81"/>
        <v>43321</v>
      </c>
    </row>
    <row r="1679" spans="30:34">
      <c r="AD1679" s="10" t="s">
        <v>57</v>
      </c>
      <c r="AE1679" s="11">
        <v>43315</v>
      </c>
      <c r="AF1679" s="12">
        <f t="shared" si="80"/>
        <v>6</v>
      </c>
      <c r="AG1679" s="11">
        <f t="shared" si="79"/>
        <v>43320</v>
      </c>
      <c r="AH1679" s="11">
        <f t="shared" si="81"/>
        <v>43322</v>
      </c>
    </row>
    <row r="1680" spans="30:34">
      <c r="AD1680" s="10" t="s">
        <v>58</v>
      </c>
      <c r="AE1680" s="11">
        <v>43316</v>
      </c>
      <c r="AF1680" s="12">
        <f t="shared" si="80"/>
        <v>7</v>
      </c>
      <c r="AG1680" s="11">
        <f t="shared" si="79"/>
        <v>43321</v>
      </c>
      <c r="AH1680" s="11">
        <f t="shared" si="81"/>
        <v>43325</v>
      </c>
    </row>
    <row r="1681" spans="30:34">
      <c r="AD1681" s="10" t="s">
        <v>52</v>
      </c>
      <c r="AE1681" s="11">
        <v>43317</v>
      </c>
      <c r="AF1681" s="12">
        <f t="shared" si="80"/>
        <v>1</v>
      </c>
      <c r="AG1681" s="11">
        <f t="shared" si="79"/>
        <v>43321</v>
      </c>
      <c r="AH1681" s="11">
        <f t="shared" si="81"/>
        <v>43325</v>
      </c>
    </row>
    <row r="1682" spans="30:34">
      <c r="AD1682" s="10" t="s">
        <v>53</v>
      </c>
      <c r="AE1682" s="11">
        <v>43318</v>
      </c>
      <c r="AF1682" s="12">
        <f t="shared" si="80"/>
        <v>2</v>
      </c>
      <c r="AG1682" s="11">
        <f t="shared" si="79"/>
        <v>43322</v>
      </c>
      <c r="AH1682" s="11">
        <f t="shared" si="81"/>
        <v>43326</v>
      </c>
    </row>
    <row r="1683" spans="30:34">
      <c r="AD1683" s="10" t="s">
        <v>54</v>
      </c>
      <c r="AE1683" s="11">
        <v>43319</v>
      </c>
      <c r="AF1683" s="12">
        <f t="shared" si="80"/>
        <v>3</v>
      </c>
      <c r="AG1683" s="11">
        <f t="shared" si="79"/>
        <v>43325</v>
      </c>
      <c r="AH1683" s="11">
        <f t="shared" si="81"/>
        <v>43327</v>
      </c>
    </row>
    <row r="1684" spans="30:34">
      <c r="AD1684" s="10" t="s">
        <v>55</v>
      </c>
      <c r="AE1684" s="11">
        <v>43320</v>
      </c>
      <c r="AF1684" s="12">
        <f t="shared" si="80"/>
        <v>4</v>
      </c>
      <c r="AG1684" s="11">
        <f t="shared" si="79"/>
        <v>43325</v>
      </c>
      <c r="AH1684" s="11">
        <f t="shared" si="81"/>
        <v>43327</v>
      </c>
    </row>
    <row r="1685" spans="30:34">
      <c r="AD1685" s="10" t="s">
        <v>56</v>
      </c>
      <c r="AE1685" s="11">
        <v>43321</v>
      </c>
      <c r="AF1685" s="12">
        <f t="shared" si="80"/>
        <v>5</v>
      </c>
      <c r="AG1685" s="11">
        <f t="shared" si="79"/>
        <v>43326</v>
      </c>
      <c r="AH1685" s="11">
        <f t="shared" si="81"/>
        <v>43328</v>
      </c>
    </row>
    <row r="1686" spans="30:34">
      <c r="AD1686" s="10" t="s">
        <v>57</v>
      </c>
      <c r="AE1686" s="11">
        <v>43322</v>
      </c>
      <c r="AF1686" s="12">
        <f t="shared" si="80"/>
        <v>6</v>
      </c>
      <c r="AG1686" s="11">
        <f t="shared" si="79"/>
        <v>43327</v>
      </c>
      <c r="AH1686" s="11">
        <f t="shared" si="81"/>
        <v>43329</v>
      </c>
    </row>
    <row r="1687" spans="30:34">
      <c r="AD1687" s="10" t="s">
        <v>58</v>
      </c>
      <c r="AE1687" s="11">
        <v>43323</v>
      </c>
      <c r="AF1687" s="12">
        <f t="shared" si="80"/>
        <v>7</v>
      </c>
      <c r="AG1687" s="11">
        <f t="shared" si="79"/>
        <v>43328</v>
      </c>
      <c r="AH1687" s="11">
        <f t="shared" si="81"/>
        <v>43332</v>
      </c>
    </row>
    <row r="1688" spans="30:34">
      <c r="AD1688" s="10" t="s">
        <v>52</v>
      </c>
      <c r="AE1688" s="11">
        <v>43324</v>
      </c>
      <c r="AF1688" s="12">
        <f t="shared" si="80"/>
        <v>1</v>
      </c>
      <c r="AG1688" s="11">
        <f t="shared" si="79"/>
        <v>43328</v>
      </c>
      <c r="AH1688" s="11">
        <f t="shared" si="81"/>
        <v>43332</v>
      </c>
    </row>
    <row r="1689" spans="30:34">
      <c r="AD1689" s="10" t="s">
        <v>53</v>
      </c>
      <c r="AE1689" s="11">
        <v>43325</v>
      </c>
      <c r="AF1689" s="12">
        <f t="shared" si="80"/>
        <v>2</v>
      </c>
      <c r="AG1689" s="11">
        <f t="shared" si="79"/>
        <v>43329</v>
      </c>
      <c r="AH1689" s="11">
        <f t="shared" si="81"/>
        <v>43333</v>
      </c>
    </row>
    <row r="1690" spans="30:34">
      <c r="AD1690" s="10" t="s">
        <v>54</v>
      </c>
      <c r="AE1690" s="11">
        <v>43326</v>
      </c>
      <c r="AF1690" s="12">
        <f t="shared" si="80"/>
        <v>3</v>
      </c>
      <c r="AG1690" s="11">
        <f t="shared" si="79"/>
        <v>43332</v>
      </c>
      <c r="AH1690" s="11">
        <f t="shared" si="81"/>
        <v>43334</v>
      </c>
    </row>
    <row r="1691" spans="30:34">
      <c r="AD1691" s="10" t="s">
        <v>55</v>
      </c>
      <c r="AE1691" s="11">
        <v>43327</v>
      </c>
      <c r="AF1691" s="12">
        <f t="shared" si="80"/>
        <v>4</v>
      </c>
      <c r="AG1691" s="11">
        <f t="shared" si="79"/>
        <v>43332</v>
      </c>
      <c r="AH1691" s="11">
        <f t="shared" si="81"/>
        <v>43334</v>
      </c>
    </row>
    <row r="1692" spans="30:34">
      <c r="AD1692" s="10" t="s">
        <v>56</v>
      </c>
      <c r="AE1692" s="11">
        <v>43328</v>
      </c>
      <c r="AF1692" s="12">
        <f t="shared" si="80"/>
        <v>5</v>
      </c>
      <c r="AG1692" s="11">
        <f t="shared" si="79"/>
        <v>43333</v>
      </c>
      <c r="AH1692" s="11">
        <f t="shared" si="81"/>
        <v>43335</v>
      </c>
    </row>
    <row r="1693" spans="30:34">
      <c r="AD1693" s="10" t="s">
        <v>57</v>
      </c>
      <c r="AE1693" s="11">
        <v>43329</v>
      </c>
      <c r="AF1693" s="12">
        <f t="shared" si="80"/>
        <v>6</v>
      </c>
      <c r="AG1693" s="11">
        <f t="shared" si="79"/>
        <v>43334</v>
      </c>
      <c r="AH1693" s="11">
        <f t="shared" si="81"/>
        <v>43336</v>
      </c>
    </row>
    <row r="1694" spans="30:34">
      <c r="AD1694" s="10" t="s">
        <v>58</v>
      </c>
      <c r="AE1694" s="11">
        <v>43330</v>
      </c>
      <c r="AF1694" s="12">
        <f t="shared" si="80"/>
        <v>7</v>
      </c>
      <c r="AG1694" s="11">
        <f t="shared" ref="AG1694:AG1757" si="82">AE1694+(VLOOKUP(AF1694, $AJ$4:$AK$10, 2, FALSE))</f>
        <v>43335</v>
      </c>
      <c r="AH1694" s="11">
        <f t="shared" si="81"/>
        <v>43339</v>
      </c>
    </row>
    <row r="1695" spans="30:34">
      <c r="AD1695" s="10" t="s">
        <v>52</v>
      </c>
      <c r="AE1695" s="11">
        <v>43331</v>
      </c>
      <c r="AF1695" s="12">
        <f t="shared" si="80"/>
        <v>1</v>
      </c>
      <c r="AG1695" s="11">
        <f t="shared" si="82"/>
        <v>43335</v>
      </c>
      <c r="AH1695" s="11">
        <f t="shared" si="81"/>
        <v>43339</v>
      </c>
    </row>
    <row r="1696" spans="30:34">
      <c r="AD1696" s="10" t="s">
        <v>53</v>
      </c>
      <c r="AE1696" s="11">
        <v>43332</v>
      </c>
      <c r="AF1696" s="12">
        <f t="shared" si="80"/>
        <v>2</v>
      </c>
      <c r="AG1696" s="11">
        <f t="shared" si="82"/>
        <v>43336</v>
      </c>
      <c r="AH1696" s="11">
        <f t="shared" si="81"/>
        <v>43340</v>
      </c>
    </row>
    <row r="1697" spans="29:34">
      <c r="AD1697" s="10" t="s">
        <v>54</v>
      </c>
      <c r="AE1697" s="11">
        <v>43333</v>
      </c>
      <c r="AF1697" s="12">
        <f t="shared" si="80"/>
        <v>3</v>
      </c>
      <c r="AG1697" s="11">
        <f t="shared" si="82"/>
        <v>43339</v>
      </c>
      <c r="AH1697" s="11">
        <f t="shared" si="81"/>
        <v>43341</v>
      </c>
    </row>
    <row r="1698" spans="29:34">
      <c r="AD1698" s="10" t="s">
        <v>55</v>
      </c>
      <c r="AE1698" s="11">
        <v>43334</v>
      </c>
      <c r="AF1698" s="12">
        <f t="shared" si="80"/>
        <v>4</v>
      </c>
      <c r="AG1698" s="11">
        <f t="shared" si="82"/>
        <v>43339</v>
      </c>
      <c r="AH1698" s="11">
        <f t="shared" si="81"/>
        <v>43341</v>
      </c>
    </row>
    <row r="1699" spans="29:34">
      <c r="AD1699" s="10" t="s">
        <v>56</v>
      </c>
      <c r="AE1699" s="11">
        <v>43335</v>
      </c>
      <c r="AF1699" s="12">
        <f t="shared" si="80"/>
        <v>5</v>
      </c>
      <c r="AG1699" s="11">
        <f t="shared" si="82"/>
        <v>43340</v>
      </c>
      <c r="AH1699" s="11">
        <f t="shared" si="81"/>
        <v>43342</v>
      </c>
    </row>
    <row r="1700" spans="29:34">
      <c r="AD1700" s="10" t="s">
        <v>57</v>
      </c>
      <c r="AE1700" s="11">
        <v>43336</v>
      </c>
      <c r="AF1700" s="12">
        <f t="shared" si="80"/>
        <v>6</v>
      </c>
      <c r="AG1700" s="11">
        <f t="shared" si="82"/>
        <v>43341</v>
      </c>
      <c r="AH1700" s="11">
        <f t="shared" si="81"/>
        <v>43343</v>
      </c>
    </row>
    <row r="1701" spans="29:34">
      <c r="AD1701" s="10" t="s">
        <v>58</v>
      </c>
      <c r="AE1701" s="11">
        <v>43337</v>
      </c>
      <c r="AF1701" s="12">
        <f t="shared" si="80"/>
        <v>7</v>
      </c>
      <c r="AG1701" s="11">
        <f t="shared" si="82"/>
        <v>43342</v>
      </c>
      <c r="AH1701" s="11">
        <f t="shared" si="81"/>
        <v>43347</v>
      </c>
    </row>
    <row r="1702" spans="29:34">
      <c r="AD1702" s="10" t="s">
        <v>52</v>
      </c>
      <c r="AE1702" s="11">
        <v>43338</v>
      </c>
      <c r="AF1702" s="12">
        <f t="shared" si="80"/>
        <v>1</v>
      </c>
      <c r="AG1702" s="11">
        <f t="shared" si="82"/>
        <v>43342</v>
      </c>
      <c r="AH1702" s="11">
        <f t="shared" si="81"/>
        <v>43347</v>
      </c>
    </row>
    <row r="1703" spans="29:34">
      <c r="AD1703" s="10" t="s">
        <v>53</v>
      </c>
      <c r="AE1703" s="11">
        <v>43339</v>
      </c>
      <c r="AF1703" s="12">
        <f t="shared" si="80"/>
        <v>2</v>
      </c>
      <c r="AG1703" s="11">
        <f t="shared" si="82"/>
        <v>43343</v>
      </c>
      <c r="AH1703" s="11">
        <f t="shared" si="81"/>
        <v>43348</v>
      </c>
    </row>
    <row r="1704" spans="29:34">
      <c r="AC1704" s="11" t="s">
        <v>51</v>
      </c>
      <c r="AD1704" s="10" t="s">
        <v>54</v>
      </c>
      <c r="AE1704" s="11">
        <v>43340</v>
      </c>
      <c r="AF1704" s="12">
        <f t="shared" si="80"/>
        <v>3</v>
      </c>
      <c r="AG1704" s="11">
        <f>AE1706+(VLOOKUP(AF1706, $AJ$4:$AK$10, 2, FALSE))</f>
        <v>43347</v>
      </c>
      <c r="AH1704" s="11">
        <f t="shared" si="81"/>
        <v>43349</v>
      </c>
    </row>
    <row r="1705" spans="29:34">
      <c r="AD1705" s="10" t="s">
        <v>55</v>
      </c>
      <c r="AE1705" s="11">
        <v>43341</v>
      </c>
      <c r="AF1705" s="12">
        <f t="shared" si="80"/>
        <v>4</v>
      </c>
      <c r="AG1705" s="11">
        <v>43347</v>
      </c>
      <c r="AH1705" s="11">
        <f t="shared" si="81"/>
        <v>43349</v>
      </c>
    </row>
    <row r="1706" spans="29:34">
      <c r="AD1706" s="10" t="s">
        <v>56</v>
      </c>
      <c r="AE1706" s="11">
        <v>43342</v>
      </c>
      <c r="AF1706" s="12">
        <f t="shared" si="80"/>
        <v>5</v>
      </c>
      <c r="AG1706" s="11">
        <f>AE1707+(VLOOKUP(AF1707, $AJ$4:$AK$10, 2, FALSE))</f>
        <v>43348</v>
      </c>
      <c r="AH1706" s="11">
        <f t="shared" si="81"/>
        <v>43350</v>
      </c>
    </row>
    <row r="1707" spans="29:34">
      <c r="AD1707" s="10" t="s">
        <v>57</v>
      </c>
      <c r="AE1707" s="11">
        <v>43343</v>
      </c>
      <c r="AF1707" s="12">
        <f t="shared" si="80"/>
        <v>6</v>
      </c>
      <c r="AG1707" s="11">
        <f>AE1708+(VLOOKUP(AF1708, $AJ$4:$AK$10, 2, FALSE))</f>
        <v>43349</v>
      </c>
      <c r="AH1707" s="11">
        <f t="shared" si="81"/>
        <v>43353</v>
      </c>
    </row>
    <row r="1708" spans="29:34">
      <c r="AD1708" s="10" t="s">
        <v>58</v>
      </c>
      <c r="AE1708" s="11">
        <v>43344</v>
      </c>
      <c r="AF1708" s="12">
        <f t="shared" si="80"/>
        <v>7</v>
      </c>
      <c r="AG1708" s="11">
        <f>AE1710+(VLOOKUP(AF1710, $AJ$4:$AK$10, 2, FALSE))</f>
        <v>43350</v>
      </c>
      <c r="AH1708" s="11">
        <f t="shared" si="81"/>
        <v>43354</v>
      </c>
    </row>
    <row r="1709" spans="29:34">
      <c r="AD1709" s="10" t="s">
        <v>52</v>
      </c>
      <c r="AE1709" s="11">
        <v>43345</v>
      </c>
      <c r="AF1709" s="12">
        <f t="shared" si="80"/>
        <v>1</v>
      </c>
      <c r="AG1709" s="11">
        <v>43350</v>
      </c>
      <c r="AH1709" s="11">
        <f t="shared" si="81"/>
        <v>43354</v>
      </c>
    </row>
    <row r="1710" spans="29:34">
      <c r="AD1710" s="10" t="s">
        <v>53</v>
      </c>
      <c r="AE1710" s="11">
        <v>43346</v>
      </c>
      <c r="AF1710" s="12">
        <f t="shared" si="80"/>
        <v>2</v>
      </c>
      <c r="AG1710" s="11">
        <v>43350</v>
      </c>
      <c r="AH1710" s="11">
        <f t="shared" si="81"/>
        <v>43354</v>
      </c>
    </row>
    <row r="1711" spans="29:34">
      <c r="AD1711" s="10" t="s">
        <v>54</v>
      </c>
      <c r="AE1711" s="11">
        <v>43347</v>
      </c>
      <c r="AF1711" s="12">
        <f t="shared" si="80"/>
        <v>3</v>
      </c>
      <c r="AG1711" s="11">
        <f t="shared" si="82"/>
        <v>43353</v>
      </c>
      <c r="AH1711" s="11">
        <f t="shared" si="81"/>
        <v>43355</v>
      </c>
    </row>
    <row r="1712" spans="29:34">
      <c r="AD1712" s="10" t="s">
        <v>55</v>
      </c>
      <c r="AE1712" s="11">
        <v>43348</v>
      </c>
      <c r="AF1712" s="12">
        <f t="shared" si="80"/>
        <v>4</v>
      </c>
      <c r="AG1712" s="11">
        <f t="shared" si="82"/>
        <v>43353</v>
      </c>
      <c r="AH1712" s="11">
        <f t="shared" si="81"/>
        <v>43355</v>
      </c>
    </row>
    <row r="1713" spans="30:34">
      <c r="AD1713" s="10" t="s">
        <v>56</v>
      </c>
      <c r="AE1713" s="11">
        <v>43349</v>
      </c>
      <c r="AF1713" s="12">
        <f t="shared" si="80"/>
        <v>5</v>
      </c>
      <c r="AG1713" s="11">
        <f t="shared" si="82"/>
        <v>43354</v>
      </c>
      <c r="AH1713" s="11">
        <f t="shared" si="81"/>
        <v>43356</v>
      </c>
    </row>
    <row r="1714" spans="30:34">
      <c r="AD1714" s="10" t="s">
        <v>57</v>
      </c>
      <c r="AE1714" s="11">
        <v>43350</v>
      </c>
      <c r="AF1714" s="12">
        <f t="shared" si="80"/>
        <v>6</v>
      </c>
      <c r="AG1714" s="11">
        <f t="shared" si="82"/>
        <v>43355</v>
      </c>
      <c r="AH1714" s="11">
        <f t="shared" si="81"/>
        <v>43357</v>
      </c>
    </row>
    <row r="1715" spans="30:34">
      <c r="AD1715" s="10" t="s">
        <v>58</v>
      </c>
      <c r="AE1715" s="11">
        <v>43351</v>
      </c>
      <c r="AF1715" s="12">
        <f t="shared" si="80"/>
        <v>7</v>
      </c>
      <c r="AG1715" s="11">
        <f t="shared" si="82"/>
        <v>43356</v>
      </c>
      <c r="AH1715" s="11">
        <f t="shared" si="81"/>
        <v>43360</v>
      </c>
    </row>
    <row r="1716" spans="30:34">
      <c r="AD1716" s="10" t="s">
        <v>52</v>
      </c>
      <c r="AE1716" s="11">
        <v>43352</v>
      </c>
      <c r="AF1716" s="12">
        <f t="shared" si="80"/>
        <v>1</v>
      </c>
      <c r="AG1716" s="11">
        <f t="shared" si="82"/>
        <v>43356</v>
      </c>
      <c r="AH1716" s="11">
        <f t="shared" si="81"/>
        <v>43360</v>
      </c>
    </row>
    <row r="1717" spans="30:34">
      <c r="AD1717" s="10" t="s">
        <v>53</v>
      </c>
      <c r="AE1717" s="11">
        <v>43353</v>
      </c>
      <c r="AF1717" s="12">
        <f t="shared" si="80"/>
        <v>2</v>
      </c>
      <c r="AG1717" s="11">
        <f t="shared" si="82"/>
        <v>43357</v>
      </c>
      <c r="AH1717" s="11">
        <f t="shared" si="81"/>
        <v>43361</v>
      </c>
    </row>
    <row r="1718" spans="30:34">
      <c r="AD1718" s="10" t="s">
        <v>54</v>
      </c>
      <c r="AE1718" s="11">
        <v>43354</v>
      </c>
      <c r="AF1718" s="12">
        <f t="shared" si="80"/>
        <v>3</v>
      </c>
      <c r="AG1718" s="11">
        <f t="shared" si="82"/>
        <v>43360</v>
      </c>
      <c r="AH1718" s="11">
        <f t="shared" si="81"/>
        <v>43362</v>
      </c>
    </row>
    <row r="1719" spans="30:34">
      <c r="AD1719" s="10" t="s">
        <v>55</v>
      </c>
      <c r="AE1719" s="11">
        <v>43355</v>
      </c>
      <c r="AF1719" s="12">
        <f t="shared" si="80"/>
        <v>4</v>
      </c>
      <c r="AG1719" s="11">
        <f t="shared" si="82"/>
        <v>43360</v>
      </c>
      <c r="AH1719" s="11">
        <f t="shared" si="81"/>
        <v>43362</v>
      </c>
    </row>
    <row r="1720" spans="30:34">
      <c r="AD1720" s="10" t="s">
        <v>56</v>
      </c>
      <c r="AE1720" s="11">
        <v>43356</v>
      </c>
      <c r="AF1720" s="12">
        <f t="shared" si="80"/>
        <v>5</v>
      </c>
      <c r="AG1720" s="11">
        <f t="shared" si="82"/>
        <v>43361</v>
      </c>
      <c r="AH1720" s="11">
        <f t="shared" si="81"/>
        <v>43363</v>
      </c>
    </row>
    <row r="1721" spans="30:34">
      <c r="AD1721" s="10" t="s">
        <v>57</v>
      </c>
      <c r="AE1721" s="11">
        <v>43357</v>
      </c>
      <c r="AF1721" s="12">
        <f t="shared" si="80"/>
        <v>6</v>
      </c>
      <c r="AG1721" s="11">
        <f t="shared" si="82"/>
        <v>43362</v>
      </c>
      <c r="AH1721" s="11">
        <f t="shared" si="81"/>
        <v>43364</v>
      </c>
    </row>
    <row r="1722" spans="30:34">
      <c r="AD1722" s="10" t="s">
        <v>58</v>
      </c>
      <c r="AE1722" s="11">
        <v>43358</v>
      </c>
      <c r="AF1722" s="12">
        <f t="shared" si="80"/>
        <v>7</v>
      </c>
      <c r="AG1722" s="11">
        <f t="shared" si="82"/>
        <v>43363</v>
      </c>
      <c r="AH1722" s="11">
        <f t="shared" si="81"/>
        <v>43367</v>
      </c>
    </row>
    <row r="1723" spans="30:34">
      <c r="AD1723" s="10" t="s">
        <v>52</v>
      </c>
      <c r="AE1723" s="11">
        <v>43359</v>
      </c>
      <c r="AF1723" s="12">
        <f t="shared" si="80"/>
        <v>1</v>
      </c>
      <c r="AG1723" s="11">
        <f t="shared" si="82"/>
        <v>43363</v>
      </c>
      <c r="AH1723" s="11">
        <f t="shared" si="81"/>
        <v>43367</v>
      </c>
    </row>
    <row r="1724" spans="30:34">
      <c r="AD1724" s="10" t="s">
        <v>53</v>
      </c>
      <c r="AE1724" s="11">
        <v>43360</v>
      </c>
      <c r="AF1724" s="12">
        <f t="shared" si="80"/>
        <v>2</v>
      </c>
      <c r="AG1724" s="11">
        <f t="shared" si="82"/>
        <v>43364</v>
      </c>
      <c r="AH1724" s="11">
        <f t="shared" si="81"/>
        <v>43368</v>
      </c>
    </row>
    <row r="1725" spans="30:34">
      <c r="AD1725" s="10" t="s">
        <v>54</v>
      </c>
      <c r="AE1725" s="11">
        <v>43361</v>
      </c>
      <c r="AF1725" s="12">
        <f t="shared" si="80"/>
        <v>3</v>
      </c>
      <c r="AG1725" s="11">
        <f t="shared" si="82"/>
        <v>43367</v>
      </c>
      <c r="AH1725" s="11">
        <f t="shared" si="81"/>
        <v>43369</v>
      </c>
    </row>
    <row r="1726" spans="30:34">
      <c r="AD1726" s="10" t="s">
        <v>55</v>
      </c>
      <c r="AE1726" s="11">
        <v>43362</v>
      </c>
      <c r="AF1726" s="12">
        <f t="shared" si="80"/>
        <v>4</v>
      </c>
      <c r="AG1726" s="11">
        <f t="shared" si="82"/>
        <v>43367</v>
      </c>
      <c r="AH1726" s="11">
        <f t="shared" si="81"/>
        <v>43369</v>
      </c>
    </row>
    <row r="1727" spans="30:34">
      <c r="AD1727" s="10" t="s">
        <v>56</v>
      </c>
      <c r="AE1727" s="11">
        <v>43363</v>
      </c>
      <c r="AF1727" s="12">
        <f t="shared" si="80"/>
        <v>5</v>
      </c>
      <c r="AG1727" s="11">
        <f t="shared" si="82"/>
        <v>43368</v>
      </c>
      <c r="AH1727" s="11">
        <f t="shared" si="81"/>
        <v>43370</v>
      </c>
    </row>
    <row r="1728" spans="30:34">
      <c r="AD1728" s="10" t="s">
        <v>57</v>
      </c>
      <c r="AE1728" s="11">
        <v>43364</v>
      </c>
      <c r="AF1728" s="12">
        <f t="shared" si="80"/>
        <v>6</v>
      </c>
      <c r="AG1728" s="11">
        <f t="shared" si="82"/>
        <v>43369</v>
      </c>
      <c r="AH1728" s="11">
        <f t="shared" si="81"/>
        <v>43371</v>
      </c>
    </row>
    <row r="1729" spans="29:34">
      <c r="AD1729" s="10" t="s">
        <v>58</v>
      </c>
      <c r="AE1729" s="11">
        <v>43365</v>
      </c>
      <c r="AF1729" s="12">
        <f t="shared" si="80"/>
        <v>7</v>
      </c>
      <c r="AG1729" s="11">
        <f t="shared" si="82"/>
        <v>43370</v>
      </c>
      <c r="AH1729" s="11">
        <f t="shared" si="81"/>
        <v>43374</v>
      </c>
    </row>
    <row r="1730" spans="29:34">
      <c r="AD1730" s="10" t="s">
        <v>52</v>
      </c>
      <c r="AE1730" s="11">
        <v>43366</v>
      </c>
      <c r="AF1730" s="12">
        <f t="shared" si="80"/>
        <v>1</v>
      </c>
      <c r="AG1730" s="11">
        <f t="shared" si="82"/>
        <v>43370</v>
      </c>
      <c r="AH1730" s="11">
        <f t="shared" si="81"/>
        <v>43374</v>
      </c>
    </row>
    <row r="1731" spans="29:34">
      <c r="AD1731" s="10" t="s">
        <v>53</v>
      </c>
      <c r="AE1731" s="11">
        <v>43367</v>
      </c>
      <c r="AF1731" s="12">
        <f t="shared" si="80"/>
        <v>2</v>
      </c>
      <c r="AG1731" s="11">
        <f t="shared" si="82"/>
        <v>43371</v>
      </c>
      <c r="AH1731" s="11">
        <f t="shared" si="81"/>
        <v>43375</v>
      </c>
    </row>
    <row r="1732" spans="29:34">
      <c r="AD1732" s="10" t="s">
        <v>54</v>
      </c>
      <c r="AE1732" s="11">
        <v>43368</v>
      </c>
      <c r="AF1732" s="12">
        <f t="shared" si="80"/>
        <v>3</v>
      </c>
      <c r="AG1732" s="11">
        <f t="shared" si="82"/>
        <v>43374</v>
      </c>
      <c r="AH1732" s="11">
        <f t="shared" si="81"/>
        <v>43376</v>
      </c>
    </row>
    <row r="1733" spans="29:34">
      <c r="AD1733" s="10" t="s">
        <v>55</v>
      </c>
      <c r="AE1733" s="11">
        <v>43369</v>
      </c>
      <c r="AF1733" s="12">
        <f t="shared" ref="AF1733:AF1796" si="83">WEEKDAY(AE1733)</f>
        <v>4</v>
      </c>
      <c r="AG1733" s="11">
        <f t="shared" si="82"/>
        <v>43374</v>
      </c>
      <c r="AH1733" s="11">
        <f t="shared" ref="AH1733:AH1796" si="84">IFERROR((WORKDAY(AG1733, 2, AC$4:AC$53)), "")</f>
        <v>43376</v>
      </c>
    </row>
    <row r="1734" spans="29:34">
      <c r="AD1734" s="10" t="s">
        <v>56</v>
      </c>
      <c r="AE1734" s="11">
        <v>43370</v>
      </c>
      <c r="AF1734" s="12">
        <f t="shared" si="83"/>
        <v>5</v>
      </c>
      <c r="AG1734" s="11">
        <f t="shared" si="82"/>
        <v>43375</v>
      </c>
      <c r="AH1734" s="11">
        <f t="shared" si="84"/>
        <v>43377</v>
      </c>
    </row>
    <row r="1735" spans="29:34">
      <c r="AD1735" s="10" t="s">
        <v>57</v>
      </c>
      <c r="AE1735" s="11">
        <v>43371</v>
      </c>
      <c r="AF1735" s="12">
        <f t="shared" si="83"/>
        <v>6</v>
      </c>
      <c r="AG1735" s="11">
        <f t="shared" si="82"/>
        <v>43376</v>
      </c>
      <c r="AH1735" s="11">
        <f t="shared" si="84"/>
        <v>43378</v>
      </c>
    </row>
    <row r="1736" spans="29:34">
      <c r="AD1736" s="10" t="s">
        <v>58</v>
      </c>
      <c r="AE1736" s="11">
        <v>43372</v>
      </c>
      <c r="AF1736" s="12">
        <f t="shared" si="83"/>
        <v>7</v>
      </c>
      <c r="AG1736" s="11">
        <f t="shared" si="82"/>
        <v>43377</v>
      </c>
      <c r="AH1736" s="11">
        <f t="shared" si="84"/>
        <v>43382</v>
      </c>
    </row>
    <row r="1737" spans="29:34">
      <c r="AD1737" s="10" t="s">
        <v>52</v>
      </c>
      <c r="AE1737" s="11">
        <v>43373</v>
      </c>
      <c r="AF1737" s="12">
        <f t="shared" si="83"/>
        <v>1</v>
      </c>
      <c r="AG1737" s="11">
        <f t="shared" si="82"/>
        <v>43377</v>
      </c>
      <c r="AH1737" s="11">
        <f t="shared" si="84"/>
        <v>43382</v>
      </c>
    </row>
    <row r="1738" spans="29:34">
      <c r="AD1738" s="10" t="s">
        <v>53</v>
      </c>
      <c r="AE1738" s="11">
        <v>43374</v>
      </c>
      <c r="AF1738" s="12">
        <f t="shared" si="83"/>
        <v>2</v>
      </c>
      <c r="AG1738" s="11">
        <f t="shared" si="82"/>
        <v>43378</v>
      </c>
      <c r="AH1738" s="11">
        <f t="shared" si="84"/>
        <v>43383</v>
      </c>
    </row>
    <row r="1739" spans="29:34">
      <c r="AC1739" s="11" t="s">
        <v>51</v>
      </c>
      <c r="AD1739" s="10" t="s">
        <v>54</v>
      </c>
      <c r="AE1739" s="11">
        <v>43375</v>
      </c>
      <c r="AF1739" s="12">
        <f t="shared" si="83"/>
        <v>3</v>
      </c>
      <c r="AG1739" s="11">
        <f>AE1741+(VLOOKUP(AF1741, $AJ$4:$AK$10, 2, FALSE))</f>
        <v>43382</v>
      </c>
      <c r="AH1739" s="11">
        <f t="shared" si="84"/>
        <v>43384</v>
      </c>
    </row>
    <row r="1740" spans="29:34">
      <c r="AD1740" s="10" t="s">
        <v>55</v>
      </c>
      <c r="AE1740" s="11">
        <v>43376</v>
      </c>
      <c r="AF1740" s="12">
        <f t="shared" si="83"/>
        <v>4</v>
      </c>
      <c r="AG1740" s="11">
        <v>43382</v>
      </c>
      <c r="AH1740" s="11">
        <f t="shared" si="84"/>
        <v>43384</v>
      </c>
    </row>
    <row r="1741" spans="29:34">
      <c r="AD1741" s="10" t="s">
        <v>56</v>
      </c>
      <c r="AE1741" s="11">
        <v>43377</v>
      </c>
      <c r="AF1741" s="12">
        <f t="shared" si="83"/>
        <v>5</v>
      </c>
      <c r="AG1741" s="11">
        <f>AE1742+(VLOOKUP(AF1742, $AJ$4:$AK$10, 2, FALSE))</f>
        <v>43383</v>
      </c>
      <c r="AH1741" s="11">
        <f t="shared" si="84"/>
        <v>43385</v>
      </c>
    </row>
    <row r="1742" spans="29:34">
      <c r="AD1742" s="10" t="s">
        <v>57</v>
      </c>
      <c r="AE1742" s="11">
        <v>43378</v>
      </c>
      <c r="AF1742" s="12">
        <f t="shared" si="83"/>
        <v>6</v>
      </c>
      <c r="AG1742" s="11">
        <f>AE1744+(VLOOKUP(AF1744, $AJ$4:$AK$10, 2, FALSE))</f>
        <v>43384</v>
      </c>
      <c r="AH1742" s="11">
        <f t="shared" si="84"/>
        <v>43388</v>
      </c>
    </row>
    <row r="1743" spans="29:34">
      <c r="AD1743" s="10" t="s">
        <v>58</v>
      </c>
      <c r="AE1743" s="11">
        <v>43379</v>
      </c>
      <c r="AF1743" s="12">
        <f t="shared" si="83"/>
        <v>7</v>
      </c>
      <c r="AG1743" s="11">
        <v>43385</v>
      </c>
      <c r="AH1743" s="11">
        <f t="shared" si="84"/>
        <v>43389</v>
      </c>
    </row>
    <row r="1744" spans="29:34">
      <c r="AD1744" s="10" t="s">
        <v>52</v>
      </c>
      <c r="AE1744" s="11">
        <v>43380</v>
      </c>
      <c r="AF1744" s="12">
        <f t="shared" si="83"/>
        <v>1</v>
      </c>
      <c r="AG1744" s="11">
        <v>43385</v>
      </c>
      <c r="AH1744" s="11">
        <f t="shared" si="84"/>
        <v>43389</v>
      </c>
    </row>
    <row r="1745" spans="30:34">
      <c r="AD1745" s="10" t="s">
        <v>53</v>
      </c>
      <c r="AE1745" s="11">
        <v>43381</v>
      </c>
      <c r="AF1745" s="12">
        <f t="shared" si="83"/>
        <v>2</v>
      </c>
      <c r="AG1745" s="11">
        <f t="shared" si="82"/>
        <v>43385</v>
      </c>
      <c r="AH1745" s="11">
        <f t="shared" si="84"/>
        <v>43389</v>
      </c>
    </row>
    <row r="1746" spans="30:34">
      <c r="AD1746" s="10" t="s">
        <v>54</v>
      </c>
      <c r="AE1746" s="11">
        <v>43382</v>
      </c>
      <c r="AF1746" s="12">
        <f t="shared" si="83"/>
        <v>3</v>
      </c>
      <c r="AG1746" s="11">
        <f t="shared" si="82"/>
        <v>43388</v>
      </c>
      <c r="AH1746" s="11">
        <f t="shared" si="84"/>
        <v>43390</v>
      </c>
    </row>
    <row r="1747" spans="30:34">
      <c r="AD1747" s="10" t="s">
        <v>55</v>
      </c>
      <c r="AE1747" s="11">
        <v>43383</v>
      </c>
      <c r="AF1747" s="12">
        <f t="shared" si="83"/>
        <v>4</v>
      </c>
      <c r="AG1747" s="11">
        <f t="shared" si="82"/>
        <v>43388</v>
      </c>
      <c r="AH1747" s="11">
        <f t="shared" si="84"/>
        <v>43390</v>
      </c>
    </row>
    <row r="1748" spans="30:34">
      <c r="AD1748" s="10" t="s">
        <v>56</v>
      </c>
      <c r="AE1748" s="11">
        <v>43384</v>
      </c>
      <c r="AF1748" s="12">
        <f t="shared" si="83"/>
        <v>5</v>
      </c>
      <c r="AG1748" s="11">
        <f t="shared" si="82"/>
        <v>43389</v>
      </c>
      <c r="AH1748" s="11">
        <f t="shared" si="84"/>
        <v>43391</v>
      </c>
    </row>
    <row r="1749" spans="30:34">
      <c r="AD1749" s="10" t="s">
        <v>57</v>
      </c>
      <c r="AE1749" s="11">
        <v>43385</v>
      </c>
      <c r="AF1749" s="12">
        <f t="shared" si="83"/>
        <v>6</v>
      </c>
      <c r="AG1749" s="11">
        <f t="shared" si="82"/>
        <v>43390</v>
      </c>
      <c r="AH1749" s="11">
        <f t="shared" si="84"/>
        <v>43392</v>
      </c>
    </row>
    <row r="1750" spans="30:34">
      <c r="AD1750" s="10" t="s">
        <v>58</v>
      </c>
      <c r="AE1750" s="11">
        <v>43386</v>
      </c>
      <c r="AF1750" s="12">
        <f t="shared" si="83"/>
        <v>7</v>
      </c>
      <c r="AG1750" s="11">
        <f t="shared" si="82"/>
        <v>43391</v>
      </c>
      <c r="AH1750" s="11">
        <f t="shared" si="84"/>
        <v>43395</v>
      </c>
    </row>
    <row r="1751" spans="30:34">
      <c r="AD1751" s="10" t="s">
        <v>52</v>
      </c>
      <c r="AE1751" s="11">
        <v>43387</v>
      </c>
      <c r="AF1751" s="12">
        <f t="shared" si="83"/>
        <v>1</v>
      </c>
      <c r="AG1751" s="11">
        <f t="shared" si="82"/>
        <v>43391</v>
      </c>
      <c r="AH1751" s="11">
        <f t="shared" si="84"/>
        <v>43395</v>
      </c>
    </row>
    <row r="1752" spans="30:34">
      <c r="AD1752" s="10" t="s">
        <v>53</v>
      </c>
      <c r="AE1752" s="11">
        <v>43388</v>
      </c>
      <c r="AF1752" s="12">
        <f t="shared" si="83"/>
        <v>2</v>
      </c>
      <c r="AG1752" s="11">
        <f t="shared" si="82"/>
        <v>43392</v>
      </c>
      <c r="AH1752" s="11">
        <f t="shared" si="84"/>
        <v>43396</v>
      </c>
    </row>
    <row r="1753" spans="30:34">
      <c r="AD1753" s="10" t="s">
        <v>54</v>
      </c>
      <c r="AE1753" s="11">
        <v>43389</v>
      </c>
      <c r="AF1753" s="12">
        <f t="shared" si="83"/>
        <v>3</v>
      </c>
      <c r="AG1753" s="11">
        <f t="shared" si="82"/>
        <v>43395</v>
      </c>
      <c r="AH1753" s="11">
        <f t="shared" si="84"/>
        <v>43397</v>
      </c>
    </row>
    <row r="1754" spans="30:34">
      <c r="AD1754" s="10" t="s">
        <v>55</v>
      </c>
      <c r="AE1754" s="11">
        <v>43390</v>
      </c>
      <c r="AF1754" s="12">
        <f t="shared" si="83"/>
        <v>4</v>
      </c>
      <c r="AG1754" s="11">
        <f t="shared" si="82"/>
        <v>43395</v>
      </c>
      <c r="AH1754" s="11">
        <f t="shared" si="84"/>
        <v>43397</v>
      </c>
    </row>
    <row r="1755" spans="30:34">
      <c r="AD1755" s="10" t="s">
        <v>56</v>
      </c>
      <c r="AE1755" s="11">
        <v>43391</v>
      </c>
      <c r="AF1755" s="12">
        <f t="shared" si="83"/>
        <v>5</v>
      </c>
      <c r="AG1755" s="11">
        <f t="shared" si="82"/>
        <v>43396</v>
      </c>
      <c r="AH1755" s="11">
        <f t="shared" si="84"/>
        <v>43398</v>
      </c>
    </row>
    <row r="1756" spans="30:34">
      <c r="AD1756" s="10" t="s">
        <v>57</v>
      </c>
      <c r="AE1756" s="11">
        <v>43392</v>
      </c>
      <c r="AF1756" s="12">
        <f t="shared" si="83"/>
        <v>6</v>
      </c>
      <c r="AG1756" s="11">
        <f t="shared" si="82"/>
        <v>43397</v>
      </c>
      <c r="AH1756" s="11">
        <f t="shared" si="84"/>
        <v>43399</v>
      </c>
    </row>
    <row r="1757" spans="30:34">
      <c r="AD1757" s="10" t="s">
        <v>58</v>
      </c>
      <c r="AE1757" s="11">
        <v>43393</v>
      </c>
      <c r="AF1757" s="12">
        <f t="shared" si="83"/>
        <v>7</v>
      </c>
      <c r="AG1757" s="11">
        <f t="shared" si="82"/>
        <v>43398</v>
      </c>
      <c r="AH1757" s="11">
        <f t="shared" si="84"/>
        <v>43402</v>
      </c>
    </row>
    <row r="1758" spans="30:34">
      <c r="AD1758" s="10" t="s">
        <v>52</v>
      </c>
      <c r="AE1758" s="11">
        <v>43394</v>
      </c>
      <c r="AF1758" s="12">
        <f t="shared" si="83"/>
        <v>1</v>
      </c>
      <c r="AG1758" s="11">
        <f t="shared" ref="AG1758:AG1817" si="85">AE1758+(VLOOKUP(AF1758, $AJ$4:$AK$10, 2, FALSE))</f>
        <v>43398</v>
      </c>
      <c r="AH1758" s="11">
        <f t="shared" si="84"/>
        <v>43402</v>
      </c>
    </row>
    <row r="1759" spans="30:34">
      <c r="AD1759" s="10" t="s">
        <v>53</v>
      </c>
      <c r="AE1759" s="11">
        <v>43395</v>
      </c>
      <c r="AF1759" s="12">
        <f t="shared" si="83"/>
        <v>2</v>
      </c>
      <c r="AG1759" s="11">
        <f t="shared" si="85"/>
        <v>43399</v>
      </c>
      <c r="AH1759" s="11">
        <f t="shared" si="84"/>
        <v>43403</v>
      </c>
    </row>
    <row r="1760" spans="30:34">
      <c r="AD1760" s="10" t="s">
        <v>54</v>
      </c>
      <c r="AE1760" s="11">
        <v>43396</v>
      </c>
      <c r="AF1760" s="12">
        <f t="shared" si="83"/>
        <v>3</v>
      </c>
      <c r="AG1760" s="11">
        <f t="shared" si="85"/>
        <v>43402</v>
      </c>
      <c r="AH1760" s="11">
        <f t="shared" si="84"/>
        <v>43404</v>
      </c>
    </row>
    <row r="1761" spans="29:34">
      <c r="AD1761" s="10" t="s">
        <v>55</v>
      </c>
      <c r="AE1761" s="11">
        <v>43397</v>
      </c>
      <c r="AF1761" s="12">
        <f t="shared" si="83"/>
        <v>4</v>
      </c>
      <c r="AG1761" s="11">
        <f t="shared" si="85"/>
        <v>43402</v>
      </c>
      <c r="AH1761" s="11">
        <f t="shared" si="84"/>
        <v>43404</v>
      </c>
    </row>
    <row r="1762" spans="29:34">
      <c r="AD1762" s="10" t="s">
        <v>56</v>
      </c>
      <c r="AE1762" s="11">
        <v>43398</v>
      </c>
      <c r="AF1762" s="12">
        <f t="shared" si="83"/>
        <v>5</v>
      </c>
      <c r="AG1762" s="11">
        <f t="shared" si="85"/>
        <v>43403</v>
      </c>
      <c r="AH1762" s="11">
        <f t="shared" si="84"/>
        <v>43405</v>
      </c>
    </row>
    <row r="1763" spans="29:34">
      <c r="AD1763" s="10" t="s">
        <v>57</v>
      </c>
      <c r="AE1763" s="11">
        <v>43399</v>
      </c>
      <c r="AF1763" s="12">
        <f t="shared" si="83"/>
        <v>6</v>
      </c>
      <c r="AG1763" s="11">
        <f t="shared" si="85"/>
        <v>43404</v>
      </c>
      <c r="AH1763" s="11">
        <f t="shared" si="84"/>
        <v>43406</v>
      </c>
    </row>
    <row r="1764" spans="29:34">
      <c r="AD1764" s="10" t="s">
        <v>58</v>
      </c>
      <c r="AE1764" s="11">
        <v>43400</v>
      </c>
      <c r="AF1764" s="12">
        <f t="shared" si="83"/>
        <v>7</v>
      </c>
      <c r="AG1764" s="11">
        <f t="shared" si="85"/>
        <v>43405</v>
      </c>
      <c r="AH1764" s="11">
        <f t="shared" si="84"/>
        <v>43409</v>
      </c>
    </row>
    <row r="1765" spans="29:34">
      <c r="AD1765" s="10" t="s">
        <v>52</v>
      </c>
      <c r="AE1765" s="11">
        <v>43401</v>
      </c>
      <c r="AF1765" s="12">
        <f t="shared" si="83"/>
        <v>1</v>
      </c>
      <c r="AG1765" s="11">
        <f t="shared" si="85"/>
        <v>43405</v>
      </c>
      <c r="AH1765" s="11">
        <f t="shared" si="84"/>
        <v>43409</v>
      </c>
    </row>
    <row r="1766" spans="29:34">
      <c r="AD1766" s="10" t="s">
        <v>53</v>
      </c>
      <c r="AE1766" s="11">
        <v>43402</v>
      </c>
      <c r="AF1766" s="12">
        <f t="shared" si="83"/>
        <v>2</v>
      </c>
      <c r="AG1766" s="11">
        <f t="shared" si="85"/>
        <v>43406</v>
      </c>
      <c r="AH1766" s="11">
        <f t="shared" si="84"/>
        <v>43410</v>
      </c>
    </row>
    <row r="1767" spans="29:34">
      <c r="AD1767" s="10" t="s">
        <v>54</v>
      </c>
      <c r="AE1767" s="11">
        <v>43403</v>
      </c>
      <c r="AF1767" s="12">
        <f t="shared" si="83"/>
        <v>3</v>
      </c>
      <c r="AG1767" s="11">
        <f t="shared" si="85"/>
        <v>43409</v>
      </c>
      <c r="AH1767" s="11">
        <f t="shared" si="84"/>
        <v>43411</v>
      </c>
    </row>
    <row r="1768" spans="29:34">
      <c r="AD1768" s="10" t="s">
        <v>55</v>
      </c>
      <c r="AE1768" s="11">
        <v>43404</v>
      </c>
      <c r="AF1768" s="12">
        <f t="shared" si="83"/>
        <v>4</v>
      </c>
      <c r="AG1768" s="11">
        <f t="shared" si="85"/>
        <v>43409</v>
      </c>
      <c r="AH1768" s="11">
        <f t="shared" si="84"/>
        <v>43411</v>
      </c>
    </row>
    <row r="1769" spans="29:34">
      <c r="AD1769" s="10" t="s">
        <v>56</v>
      </c>
      <c r="AE1769" s="11">
        <v>43405</v>
      </c>
      <c r="AF1769" s="12">
        <f t="shared" si="83"/>
        <v>5</v>
      </c>
      <c r="AG1769" s="11">
        <f t="shared" si="85"/>
        <v>43410</v>
      </c>
      <c r="AH1769" s="11">
        <f t="shared" si="84"/>
        <v>43412</v>
      </c>
    </row>
    <row r="1770" spans="29:34">
      <c r="AD1770" s="10" t="s">
        <v>57</v>
      </c>
      <c r="AE1770" s="11">
        <v>43406</v>
      </c>
      <c r="AF1770" s="12">
        <f t="shared" si="83"/>
        <v>6</v>
      </c>
      <c r="AG1770" s="11">
        <f t="shared" si="85"/>
        <v>43411</v>
      </c>
      <c r="AH1770" s="11">
        <f t="shared" si="84"/>
        <v>43413</v>
      </c>
    </row>
    <row r="1771" spans="29:34">
      <c r="AD1771" s="10" t="s">
        <v>58</v>
      </c>
      <c r="AE1771" s="11">
        <v>43407</v>
      </c>
      <c r="AF1771" s="12">
        <f t="shared" si="83"/>
        <v>7</v>
      </c>
      <c r="AG1771" s="11">
        <f t="shared" si="85"/>
        <v>43412</v>
      </c>
      <c r="AH1771" s="11">
        <f t="shared" si="84"/>
        <v>43417</v>
      </c>
    </row>
    <row r="1772" spans="29:34">
      <c r="AD1772" s="10" t="s">
        <v>52</v>
      </c>
      <c r="AE1772" s="11">
        <v>43408</v>
      </c>
      <c r="AF1772" s="12">
        <f t="shared" si="83"/>
        <v>1</v>
      </c>
      <c r="AG1772" s="11">
        <f t="shared" si="85"/>
        <v>43412</v>
      </c>
      <c r="AH1772" s="11">
        <f t="shared" si="84"/>
        <v>43417</v>
      </c>
    </row>
    <row r="1773" spans="29:34">
      <c r="AD1773" s="10" t="s">
        <v>53</v>
      </c>
      <c r="AE1773" s="11">
        <v>43409</v>
      </c>
      <c r="AF1773" s="12">
        <f t="shared" si="83"/>
        <v>2</v>
      </c>
      <c r="AG1773" s="11">
        <f t="shared" si="85"/>
        <v>43413</v>
      </c>
      <c r="AH1773" s="11">
        <f t="shared" si="84"/>
        <v>43418</v>
      </c>
    </row>
    <row r="1774" spans="29:34">
      <c r="AC1774" s="11" t="s">
        <v>51</v>
      </c>
      <c r="AD1774" s="10" t="s">
        <v>54</v>
      </c>
      <c r="AE1774" s="11">
        <v>43410</v>
      </c>
      <c r="AF1774" s="12">
        <f t="shared" si="83"/>
        <v>3</v>
      </c>
      <c r="AG1774" s="11">
        <f t="shared" si="85"/>
        <v>43416</v>
      </c>
      <c r="AH1774" s="11">
        <f t="shared" si="84"/>
        <v>43418</v>
      </c>
    </row>
    <row r="1775" spans="29:34">
      <c r="AD1775" s="10" t="s">
        <v>55</v>
      </c>
      <c r="AE1775" s="11">
        <v>43411</v>
      </c>
      <c r="AF1775" s="12">
        <f t="shared" si="83"/>
        <v>4</v>
      </c>
      <c r="AG1775" s="11">
        <f t="shared" si="85"/>
        <v>43416</v>
      </c>
      <c r="AH1775" s="11">
        <f t="shared" si="84"/>
        <v>43418</v>
      </c>
    </row>
    <row r="1776" spans="29:34">
      <c r="AD1776" s="10" t="s">
        <v>56</v>
      </c>
      <c r="AE1776" s="11">
        <v>43412</v>
      </c>
      <c r="AF1776" s="12">
        <f t="shared" si="83"/>
        <v>5</v>
      </c>
      <c r="AG1776" s="11">
        <f t="shared" si="85"/>
        <v>43417</v>
      </c>
      <c r="AH1776" s="11">
        <f t="shared" si="84"/>
        <v>43419</v>
      </c>
    </row>
    <row r="1777" spans="30:34">
      <c r="AD1777" s="10" t="s">
        <v>57</v>
      </c>
      <c r="AE1777" s="11">
        <v>43413</v>
      </c>
      <c r="AF1777" s="12">
        <f t="shared" si="83"/>
        <v>6</v>
      </c>
      <c r="AG1777" s="11">
        <f t="shared" si="85"/>
        <v>43418</v>
      </c>
      <c r="AH1777" s="11">
        <f t="shared" si="84"/>
        <v>43420</v>
      </c>
    </row>
    <row r="1778" spans="30:34">
      <c r="AD1778" s="10" t="s">
        <v>58</v>
      </c>
      <c r="AE1778" s="11">
        <v>43414</v>
      </c>
      <c r="AF1778" s="12">
        <f t="shared" si="83"/>
        <v>7</v>
      </c>
      <c r="AG1778" s="11">
        <f t="shared" si="85"/>
        <v>43419</v>
      </c>
      <c r="AH1778" s="11">
        <f t="shared" si="84"/>
        <v>43423</v>
      </c>
    </row>
    <row r="1779" spans="30:34">
      <c r="AD1779" s="10" t="s">
        <v>52</v>
      </c>
      <c r="AE1779" s="11">
        <v>43415</v>
      </c>
      <c r="AF1779" s="12">
        <f t="shared" si="83"/>
        <v>1</v>
      </c>
      <c r="AG1779" s="11">
        <f t="shared" si="85"/>
        <v>43419</v>
      </c>
      <c r="AH1779" s="11">
        <f t="shared" si="84"/>
        <v>43423</v>
      </c>
    </row>
    <row r="1780" spans="30:34">
      <c r="AD1780" s="10" t="s">
        <v>53</v>
      </c>
      <c r="AE1780" s="11">
        <v>43416</v>
      </c>
      <c r="AF1780" s="12">
        <f t="shared" si="83"/>
        <v>2</v>
      </c>
      <c r="AG1780" s="11">
        <f t="shared" si="85"/>
        <v>43420</v>
      </c>
      <c r="AH1780" s="11">
        <f t="shared" si="84"/>
        <v>43424</v>
      </c>
    </row>
    <row r="1781" spans="30:34">
      <c r="AD1781" s="10" t="s">
        <v>54</v>
      </c>
      <c r="AE1781" s="11">
        <v>43417</v>
      </c>
      <c r="AF1781" s="12">
        <f t="shared" si="83"/>
        <v>3</v>
      </c>
      <c r="AG1781" s="11">
        <f t="shared" si="85"/>
        <v>43423</v>
      </c>
      <c r="AH1781" s="11">
        <f t="shared" si="84"/>
        <v>43425</v>
      </c>
    </row>
    <row r="1782" spans="30:34">
      <c r="AD1782" s="10" t="s">
        <v>55</v>
      </c>
      <c r="AE1782" s="11">
        <v>43418</v>
      </c>
      <c r="AF1782" s="12">
        <f t="shared" si="83"/>
        <v>4</v>
      </c>
      <c r="AG1782" s="11">
        <f t="shared" si="85"/>
        <v>43423</v>
      </c>
      <c r="AH1782" s="11">
        <f t="shared" si="84"/>
        <v>43425</v>
      </c>
    </row>
    <row r="1783" spans="30:34">
      <c r="AD1783" s="10" t="s">
        <v>56</v>
      </c>
      <c r="AE1783" s="11">
        <v>43419</v>
      </c>
      <c r="AF1783" s="12">
        <f t="shared" si="83"/>
        <v>5</v>
      </c>
      <c r="AG1783" s="11">
        <f t="shared" si="85"/>
        <v>43424</v>
      </c>
      <c r="AH1783" s="11">
        <f t="shared" si="84"/>
        <v>43427</v>
      </c>
    </row>
    <row r="1784" spans="30:34">
      <c r="AD1784" s="10" t="s">
        <v>57</v>
      </c>
      <c r="AE1784" s="11">
        <v>43420</v>
      </c>
      <c r="AF1784" s="12">
        <f t="shared" si="83"/>
        <v>6</v>
      </c>
      <c r="AG1784" s="11">
        <f t="shared" si="85"/>
        <v>43425</v>
      </c>
      <c r="AH1784" s="11">
        <f t="shared" si="84"/>
        <v>43430</v>
      </c>
    </row>
    <row r="1785" spans="30:34">
      <c r="AD1785" s="10" t="s">
        <v>58</v>
      </c>
      <c r="AE1785" s="11">
        <v>43421</v>
      </c>
      <c r="AF1785" s="12">
        <f t="shared" si="83"/>
        <v>7</v>
      </c>
      <c r="AG1785" s="11">
        <f>AE1787+(VLOOKUP(AF1787, $AJ$4:$AK$10, 2, FALSE))</f>
        <v>43427</v>
      </c>
      <c r="AH1785" s="11">
        <f t="shared" si="84"/>
        <v>43431</v>
      </c>
    </row>
    <row r="1786" spans="30:34">
      <c r="AD1786" s="10" t="s">
        <v>52</v>
      </c>
      <c r="AE1786" s="11">
        <v>43422</v>
      </c>
      <c r="AF1786" s="12">
        <f t="shared" si="83"/>
        <v>1</v>
      </c>
      <c r="AG1786" s="11">
        <v>43427</v>
      </c>
      <c r="AH1786" s="11">
        <f t="shared" si="84"/>
        <v>43431</v>
      </c>
    </row>
    <row r="1787" spans="30:34">
      <c r="AD1787" s="10" t="s">
        <v>53</v>
      </c>
      <c r="AE1787" s="11">
        <v>43423</v>
      </c>
      <c r="AF1787" s="12">
        <f t="shared" si="83"/>
        <v>2</v>
      </c>
      <c r="AG1787" s="11">
        <f>AE1788+(VLOOKUP(AF1788, $AJ$4:$AK$10, 2, FALSE))</f>
        <v>43430</v>
      </c>
      <c r="AH1787" s="11">
        <f t="shared" si="84"/>
        <v>43432</v>
      </c>
    </row>
    <row r="1788" spans="30:34">
      <c r="AD1788" s="10" t="s">
        <v>54</v>
      </c>
      <c r="AE1788" s="11">
        <v>43424</v>
      </c>
      <c r="AF1788" s="12">
        <f t="shared" si="83"/>
        <v>3</v>
      </c>
      <c r="AG1788" s="11">
        <f>AE1789+(VLOOKUP(AF1789, $AJ$4:$AK$10, 2, FALSE))</f>
        <v>43430</v>
      </c>
      <c r="AH1788" s="11">
        <f t="shared" si="84"/>
        <v>43432</v>
      </c>
    </row>
    <row r="1789" spans="30:34">
      <c r="AD1789" s="10" t="s">
        <v>55</v>
      </c>
      <c r="AE1789" s="11">
        <v>43425</v>
      </c>
      <c r="AF1789" s="12">
        <f t="shared" si="83"/>
        <v>4</v>
      </c>
      <c r="AG1789" s="11">
        <v>43431</v>
      </c>
      <c r="AH1789" s="11">
        <f t="shared" si="84"/>
        <v>43433</v>
      </c>
    </row>
    <row r="1790" spans="30:34">
      <c r="AD1790" s="10" t="s">
        <v>56</v>
      </c>
      <c r="AE1790" s="11">
        <v>43426</v>
      </c>
      <c r="AF1790" s="12">
        <f t="shared" si="83"/>
        <v>5</v>
      </c>
      <c r="AG1790" s="11">
        <f t="shared" si="85"/>
        <v>43431</v>
      </c>
      <c r="AH1790" s="11">
        <f t="shared" si="84"/>
        <v>43433</v>
      </c>
    </row>
    <row r="1791" spans="30:34">
      <c r="AD1791" s="10" t="s">
        <v>57</v>
      </c>
      <c r="AE1791" s="11">
        <v>43427</v>
      </c>
      <c r="AF1791" s="12">
        <f t="shared" si="83"/>
        <v>6</v>
      </c>
      <c r="AG1791" s="11">
        <f t="shared" si="85"/>
        <v>43432</v>
      </c>
      <c r="AH1791" s="11">
        <f t="shared" si="84"/>
        <v>43434</v>
      </c>
    </row>
    <row r="1792" spans="30:34">
      <c r="AD1792" s="10" t="s">
        <v>58</v>
      </c>
      <c r="AE1792" s="11">
        <v>43428</v>
      </c>
      <c r="AF1792" s="12">
        <f t="shared" si="83"/>
        <v>7</v>
      </c>
      <c r="AG1792" s="11">
        <f t="shared" si="85"/>
        <v>43433</v>
      </c>
      <c r="AH1792" s="11">
        <f t="shared" si="84"/>
        <v>43437</v>
      </c>
    </row>
    <row r="1793" spans="30:34">
      <c r="AD1793" s="10" t="s">
        <v>52</v>
      </c>
      <c r="AE1793" s="11">
        <v>43429</v>
      </c>
      <c r="AF1793" s="12">
        <f t="shared" si="83"/>
        <v>1</v>
      </c>
      <c r="AG1793" s="11">
        <f t="shared" si="85"/>
        <v>43433</v>
      </c>
      <c r="AH1793" s="11">
        <f t="shared" si="84"/>
        <v>43437</v>
      </c>
    </row>
    <row r="1794" spans="30:34">
      <c r="AD1794" s="10" t="s">
        <v>53</v>
      </c>
      <c r="AE1794" s="11">
        <v>43430</v>
      </c>
      <c r="AF1794" s="12">
        <f t="shared" si="83"/>
        <v>2</v>
      </c>
      <c r="AG1794" s="11">
        <f t="shared" si="85"/>
        <v>43434</v>
      </c>
      <c r="AH1794" s="11">
        <f t="shared" si="84"/>
        <v>43438</v>
      </c>
    </row>
    <row r="1795" spans="30:34">
      <c r="AD1795" s="10" t="s">
        <v>54</v>
      </c>
      <c r="AE1795" s="11">
        <v>43431</v>
      </c>
      <c r="AF1795" s="12">
        <f t="shared" si="83"/>
        <v>3</v>
      </c>
      <c r="AG1795" s="11">
        <f t="shared" si="85"/>
        <v>43437</v>
      </c>
      <c r="AH1795" s="11">
        <f t="shared" si="84"/>
        <v>43439</v>
      </c>
    </row>
    <row r="1796" spans="30:34">
      <c r="AD1796" s="10" t="s">
        <v>55</v>
      </c>
      <c r="AE1796" s="11">
        <v>43432</v>
      </c>
      <c r="AF1796" s="12">
        <f t="shared" si="83"/>
        <v>4</v>
      </c>
      <c r="AG1796" s="11">
        <f t="shared" si="85"/>
        <v>43437</v>
      </c>
      <c r="AH1796" s="11">
        <f t="shared" si="84"/>
        <v>43439</v>
      </c>
    </row>
    <row r="1797" spans="30:34">
      <c r="AD1797" s="10" t="s">
        <v>56</v>
      </c>
      <c r="AE1797" s="11">
        <v>43433</v>
      </c>
      <c r="AF1797" s="12">
        <f t="shared" ref="AF1797:AF1829" si="86">WEEKDAY(AE1797)</f>
        <v>5</v>
      </c>
      <c r="AG1797" s="11">
        <f t="shared" si="85"/>
        <v>43438</v>
      </c>
      <c r="AH1797" s="11">
        <f t="shared" ref="AH1797:AH1829" si="87">IFERROR((WORKDAY(AG1797, 2, AC$4:AC$53)), "")</f>
        <v>43440</v>
      </c>
    </row>
    <row r="1798" spans="30:34">
      <c r="AD1798" s="10" t="s">
        <v>57</v>
      </c>
      <c r="AE1798" s="11">
        <v>43434</v>
      </c>
      <c r="AF1798" s="12">
        <f t="shared" si="86"/>
        <v>6</v>
      </c>
      <c r="AG1798" s="11">
        <f t="shared" si="85"/>
        <v>43439</v>
      </c>
      <c r="AH1798" s="11">
        <f t="shared" si="87"/>
        <v>43441</v>
      </c>
    </row>
    <row r="1799" spans="30:34">
      <c r="AD1799" s="10" t="s">
        <v>58</v>
      </c>
      <c r="AE1799" s="11">
        <v>43435</v>
      </c>
      <c r="AF1799" s="12">
        <f t="shared" si="86"/>
        <v>7</v>
      </c>
      <c r="AG1799" s="11">
        <f t="shared" si="85"/>
        <v>43440</v>
      </c>
      <c r="AH1799" s="11">
        <f t="shared" si="87"/>
        <v>43444</v>
      </c>
    </row>
    <row r="1800" spans="30:34">
      <c r="AD1800" s="10" t="s">
        <v>52</v>
      </c>
      <c r="AE1800" s="11">
        <v>43436</v>
      </c>
      <c r="AF1800" s="12">
        <f t="shared" si="86"/>
        <v>1</v>
      </c>
      <c r="AG1800" s="11">
        <f t="shared" si="85"/>
        <v>43440</v>
      </c>
      <c r="AH1800" s="11">
        <f t="shared" si="87"/>
        <v>43444</v>
      </c>
    </row>
    <row r="1801" spans="30:34">
      <c r="AD1801" s="10" t="s">
        <v>53</v>
      </c>
      <c r="AE1801" s="11">
        <v>43437</v>
      </c>
      <c r="AF1801" s="12">
        <f t="shared" si="86"/>
        <v>2</v>
      </c>
      <c r="AG1801" s="11">
        <f t="shared" si="85"/>
        <v>43441</v>
      </c>
      <c r="AH1801" s="11">
        <f t="shared" si="87"/>
        <v>43445</v>
      </c>
    </row>
    <row r="1802" spans="30:34">
      <c r="AD1802" s="10" t="s">
        <v>54</v>
      </c>
      <c r="AE1802" s="11">
        <v>43438</v>
      </c>
      <c r="AF1802" s="12">
        <f t="shared" si="86"/>
        <v>3</v>
      </c>
      <c r="AG1802" s="11">
        <f t="shared" si="85"/>
        <v>43444</v>
      </c>
      <c r="AH1802" s="11">
        <f t="shared" si="87"/>
        <v>43446</v>
      </c>
    </row>
    <row r="1803" spans="30:34">
      <c r="AD1803" s="10" t="s">
        <v>55</v>
      </c>
      <c r="AE1803" s="11">
        <v>43439</v>
      </c>
      <c r="AF1803" s="12">
        <f t="shared" si="86"/>
        <v>4</v>
      </c>
      <c r="AG1803" s="11">
        <f t="shared" si="85"/>
        <v>43444</v>
      </c>
      <c r="AH1803" s="11">
        <f t="shared" si="87"/>
        <v>43446</v>
      </c>
    </row>
    <row r="1804" spans="30:34">
      <c r="AD1804" s="10" t="s">
        <v>56</v>
      </c>
      <c r="AE1804" s="11">
        <v>43440</v>
      </c>
      <c r="AF1804" s="12">
        <f t="shared" si="86"/>
        <v>5</v>
      </c>
      <c r="AG1804" s="11">
        <f t="shared" si="85"/>
        <v>43445</v>
      </c>
      <c r="AH1804" s="11">
        <f t="shared" si="87"/>
        <v>43447</v>
      </c>
    </row>
    <row r="1805" spans="30:34">
      <c r="AD1805" s="10" t="s">
        <v>57</v>
      </c>
      <c r="AE1805" s="11">
        <v>43441</v>
      </c>
      <c r="AF1805" s="12">
        <f t="shared" si="86"/>
        <v>6</v>
      </c>
      <c r="AG1805" s="11">
        <f t="shared" si="85"/>
        <v>43446</v>
      </c>
      <c r="AH1805" s="11">
        <f t="shared" si="87"/>
        <v>43448</v>
      </c>
    </row>
    <row r="1806" spans="30:34">
      <c r="AD1806" s="10" t="s">
        <v>58</v>
      </c>
      <c r="AE1806" s="11">
        <v>43442</v>
      </c>
      <c r="AF1806" s="12">
        <f t="shared" si="86"/>
        <v>7</v>
      </c>
      <c r="AG1806" s="11">
        <f t="shared" si="85"/>
        <v>43447</v>
      </c>
      <c r="AH1806" s="11">
        <f t="shared" si="87"/>
        <v>43451</v>
      </c>
    </row>
    <row r="1807" spans="30:34">
      <c r="AD1807" s="10" t="s">
        <v>52</v>
      </c>
      <c r="AE1807" s="11">
        <v>43443</v>
      </c>
      <c r="AF1807" s="12">
        <f t="shared" si="86"/>
        <v>1</v>
      </c>
      <c r="AG1807" s="11">
        <f t="shared" si="85"/>
        <v>43447</v>
      </c>
      <c r="AH1807" s="11">
        <f t="shared" si="87"/>
        <v>43451</v>
      </c>
    </row>
    <row r="1808" spans="30:34">
      <c r="AD1808" s="10" t="s">
        <v>53</v>
      </c>
      <c r="AE1808" s="11">
        <v>43444</v>
      </c>
      <c r="AF1808" s="12">
        <f t="shared" si="86"/>
        <v>2</v>
      </c>
      <c r="AG1808" s="11">
        <f t="shared" si="85"/>
        <v>43448</v>
      </c>
      <c r="AH1808" s="11">
        <f t="shared" si="87"/>
        <v>43452</v>
      </c>
    </row>
    <row r="1809" spans="29:34">
      <c r="AD1809" s="10" t="s">
        <v>54</v>
      </c>
      <c r="AE1809" s="11">
        <v>43445</v>
      </c>
      <c r="AF1809" s="12">
        <f t="shared" si="86"/>
        <v>3</v>
      </c>
      <c r="AG1809" s="11">
        <f t="shared" si="85"/>
        <v>43451</v>
      </c>
      <c r="AH1809" s="11">
        <f t="shared" si="87"/>
        <v>43453</v>
      </c>
    </row>
    <row r="1810" spans="29:34">
      <c r="AD1810" s="10" t="s">
        <v>55</v>
      </c>
      <c r="AE1810" s="11">
        <v>43446</v>
      </c>
      <c r="AF1810" s="12">
        <f t="shared" si="86"/>
        <v>4</v>
      </c>
      <c r="AG1810" s="11">
        <f t="shared" si="85"/>
        <v>43451</v>
      </c>
      <c r="AH1810" s="11">
        <f t="shared" si="87"/>
        <v>43453</v>
      </c>
    </row>
    <row r="1811" spans="29:34">
      <c r="AD1811" s="10" t="s">
        <v>56</v>
      </c>
      <c r="AE1811" s="11">
        <v>43447</v>
      </c>
      <c r="AF1811" s="12">
        <f t="shared" si="86"/>
        <v>5</v>
      </c>
      <c r="AG1811" s="11">
        <f t="shared" si="85"/>
        <v>43452</v>
      </c>
      <c r="AH1811" s="11">
        <f t="shared" si="87"/>
        <v>43454</v>
      </c>
    </row>
    <row r="1812" spans="29:34">
      <c r="AD1812" s="10" t="s">
        <v>57</v>
      </c>
      <c r="AE1812" s="11">
        <v>43448</v>
      </c>
      <c r="AF1812" s="12">
        <f t="shared" si="86"/>
        <v>6</v>
      </c>
      <c r="AG1812" s="11">
        <f t="shared" si="85"/>
        <v>43453</v>
      </c>
      <c r="AH1812" s="11">
        <f t="shared" si="87"/>
        <v>43455</v>
      </c>
    </row>
    <row r="1813" spans="29:34">
      <c r="AD1813" s="10" t="s">
        <v>58</v>
      </c>
      <c r="AE1813" s="11">
        <v>43449</v>
      </c>
      <c r="AF1813" s="12">
        <f t="shared" si="86"/>
        <v>7</v>
      </c>
      <c r="AG1813" s="11">
        <f t="shared" si="85"/>
        <v>43454</v>
      </c>
      <c r="AH1813" s="11">
        <f t="shared" si="87"/>
        <v>43458</v>
      </c>
    </row>
    <row r="1814" spans="29:34">
      <c r="AD1814" s="10" t="s">
        <v>52</v>
      </c>
      <c r="AE1814" s="11">
        <v>43450</v>
      </c>
      <c r="AF1814" s="12">
        <f t="shared" si="86"/>
        <v>1</v>
      </c>
      <c r="AG1814" s="11">
        <f t="shared" si="85"/>
        <v>43454</v>
      </c>
      <c r="AH1814" s="11">
        <f t="shared" si="87"/>
        <v>43458</v>
      </c>
    </row>
    <row r="1815" spans="29:34">
      <c r="AD1815" s="10" t="s">
        <v>53</v>
      </c>
      <c r="AE1815" s="11">
        <v>43451</v>
      </c>
      <c r="AF1815" s="12">
        <f t="shared" si="86"/>
        <v>2</v>
      </c>
      <c r="AG1815" s="11">
        <f t="shared" si="85"/>
        <v>43455</v>
      </c>
      <c r="AH1815" s="11">
        <f t="shared" si="87"/>
        <v>43460</v>
      </c>
    </row>
    <row r="1816" spans="29:34">
      <c r="AD1816" s="10" t="s">
        <v>54</v>
      </c>
      <c r="AE1816" s="11">
        <v>43452</v>
      </c>
      <c r="AF1816" s="12">
        <f t="shared" si="86"/>
        <v>3</v>
      </c>
      <c r="AG1816" s="11">
        <f t="shared" si="85"/>
        <v>43458</v>
      </c>
      <c r="AH1816" s="11">
        <f t="shared" si="87"/>
        <v>43461</v>
      </c>
    </row>
    <row r="1817" spans="29:34">
      <c r="AD1817" s="10" t="s">
        <v>55</v>
      </c>
      <c r="AE1817" s="11">
        <v>43453</v>
      </c>
      <c r="AF1817" s="12">
        <f t="shared" si="86"/>
        <v>4</v>
      </c>
      <c r="AG1817" s="11">
        <f t="shared" si="85"/>
        <v>43458</v>
      </c>
      <c r="AH1817" s="11">
        <f t="shared" si="87"/>
        <v>43461</v>
      </c>
    </row>
    <row r="1818" spans="29:34">
      <c r="AC1818" s="11" t="s">
        <v>51</v>
      </c>
      <c r="AD1818" s="10" t="s">
        <v>56</v>
      </c>
      <c r="AE1818" s="11">
        <v>43454</v>
      </c>
      <c r="AF1818" s="12">
        <f t="shared" si="86"/>
        <v>5</v>
      </c>
      <c r="AG1818" s="11">
        <f>AE1819+(VLOOKUP(AF1819, $AJ$4:$AK$10, 2, FALSE))</f>
        <v>43460</v>
      </c>
      <c r="AH1818" s="11">
        <f t="shared" si="87"/>
        <v>43462</v>
      </c>
    </row>
    <row r="1819" spans="29:34">
      <c r="AD1819" s="10" t="s">
        <v>57</v>
      </c>
      <c r="AE1819" s="11">
        <v>43455</v>
      </c>
      <c r="AF1819" s="12">
        <f t="shared" si="86"/>
        <v>6</v>
      </c>
      <c r="AG1819" s="11">
        <f>AE1820+(VLOOKUP(AF1820, $AJ$4:$AK$10, 2, FALSE))</f>
        <v>43461</v>
      </c>
      <c r="AH1819" s="11">
        <f t="shared" si="87"/>
        <v>43465</v>
      </c>
    </row>
    <row r="1820" spans="29:34">
      <c r="AD1820" s="10" t="s">
        <v>58</v>
      </c>
      <c r="AE1820" s="11">
        <v>43456</v>
      </c>
      <c r="AF1820" s="12">
        <f t="shared" si="86"/>
        <v>7</v>
      </c>
      <c r="AG1820" s="11">
        <f>AE1822+(VLOOKUP(AF1822, $AJ$4:$AK$10, 2, FALSE))</f>
        <v>43462</v>
      </c>
      <c r="AH1820" s="11">
        <f t="shared" si="87"/>
        <v>43466</v>
      </c>
    </row>
    <row r="1821" spans="29:34">
      <c r="AD1821" s="10" t="s">
        <v>52</v>
      </c>
      <c r="AE1821" s="11">
        <v>43457</v>
      </c>
      <c r="AF1821" s="12">
        <f t="shared" si="86"/>
        <v>1</v>
      </c>
      <c r="AG1821" s="11">
        <v>43462</v>
      </c>
      <c r="AH1821" s="11">
        <f t="shared" si="87"/>
        <v>43466</v>
      </c>
    </row>
    <row r="1822" spans="29:34">
      <c r="AD1822" s="10" t="s">
        <v>53</v>
      </c>
      <c r="AE1822" s="11">
        <v>43458</v>
      </c>
      <c r="AF1822" s="12">
        <f t="shared" si="86"/>
        <v>2</v>
      </c>
      <c r="AG1822" s="11">
        <f>AE1824+(VLOOKUP(AF1824, $AJ$4:$AK$10, 2, FALSE))</f>
        <v>43465</v>
      </c>
      <c r="AH1822" s="11">
        <f t="shared" si="87"/>
        <v>43467</v>
      </c>
    </row>
    <row r="1823" spans="29:34">
      <c r="AD1823" s="10" t="s">
        <v>54</v>
      </c>
      <c r="AE1823" s="11">
        <v>43459</v>
      </c>
      <c r="AF1823" s="12">
        <f t="shared" si="86"/>
        <v>3</v>
      </c>
      <c r="AG1823" s="11">
        <f>AE1823+(VLOOKUP(AF1823, $AJ$4:$AK$10, 2, FALSE))</f>
        <v>43465</v>
      </c>
      <c r="AH1823" s="11">
        <f t="shared" si="87"/>
        <v>43467</v>
      </c>
    </row>
    <row r="1824" spans="29:34">
      <c r="AD1824" s="10" t="s">
        <v>55</v>
      </c>
      <c r="AE1824" s="11">
        <v>43460</v>
      </c>
      <c r="AF1824" s="12">
        <f t="shared" si="86"/>
        <v>4</v>
      </c>
      <c r="AG1824" s="11">
        <v>43465</v>
      </c>
      <c r="AH1824" s="11">
        <f t="shared" si="87"/>
        <v>43467</v>
      </c>
    </row>
    <row r="1825" spans="30:34">
      <c r="AD1825" s="10" t="s">
        <v>56</v>
      </c>
      <c r="AE1825" s="11">
        <v>43461</v>
      </c>
      <c r="AF1825" s="12">
        <f t="shared" si="86"/>
        <v>5</v>
      </c>
      <c r="AG1825" s="11">
        <f>AE1826+(VLOOKUP(AF1826, $AJ$4:$AK$10, 2, FALSE))</f>
        <v>43467</v>
      </c>
      <c r="AH1825" s="11">
        <f t="shared" si="87"/>
        <v>43469</v>
      </c>
    </row>
    <row r="1826" spans="30:34">
      <c r="AD1826" s="10" t="s">
        <v>57</v>
      </c>
      <c r="AE1826" s="11">
        <v>43462</v>
      </c>
      <c r="AF1826" s="12">
        <f t="shared" si="86"/>
        <v>6</v>
      </c>
      <c r="AG1826" s="11">
        <f>AE1827+(VLOOKUP(AF1827, $AJ$4:$AK$10, 2, FALSE))</f>
        <v>43468</v>
      </c>
      <c r="AH1826" s="11">
        <f t="shared" si="87"/>
        <v>43472</v>
      </c>
    </row>
    <row r="1827" spans="30:34">
      <c r="AD1827" s="10" t="s">
        <v>58</v>
      </c>
      <c r="AE1827" s="11">
        <v>43463</v>
      </c>
      <c r="AF1827" s="12">
        <f t="shared" si="86"/>
        <v>7</v>
      </c>
      <c r="AG1827" s="11">
        <f>AE1829+(VLOOKUP(AF1829, $AJ$4:$AK$10, 2, FALSE))</f>
        <v>43469</v>
      </c>
      <c r="AH1827" s="11">
        <f t="shared" si="87"/>
        <v>43473</v>
      </c>
    </row>
    <row r="1828" spans="30:34">
      <c r="AD1828" s="10" t="s">
        <v>52</v>
      </c>
      <c r="AE1828" s="11">
        <v>43464</v>
      </c>
      <c r="AF1828" s="12">
        <f t="shared" si="86"/>
        <v>1</v>
      </c>
      <c r="AG1828" s="11">
        <v>43469</v>
      </c>
      <c r="AH1828" s="11">
        <f t="shared" si="87"/>
        <v>43473</v>
      </c>
    </row>
    <row r="1829" spans="30:34">
      <c r="AD1829" s="10" t="s">
        <v>53</v>
      </c>
      <c r="AE1829" s="11">
        <v>43465</v>
      </c>
      <c r="AF1829" s="12">
        <f t="shared" si="86"/>
        <v>2</v>
      </c>
      <c r="AG1829" s="11">
        <v>43472</v>
      </c>
      <c r="AH1829" s="11">
        <f t="shared" si="87"/>
        <v>43474</v>
      </c>
    </row>
  </sheetData>
  <sheetProtection password="C580" sheet="1" objects="1" scenarios="1" selectLockedCells="1" selectUnlockedCells="1"/>
  <mergeCells count="1">
    <mergeCell ref="A1:D1"/>
  </mergeCells>
  <dataValidations count="1">
    <dataValidation type="date" allowBlank="1" showInputMessage="1" showErrorMessage="1" sqref="B14 B20">
      <formula1>36892</formula1>
      <formula2>401768</formula2>
    </dataValidation>
  </dataValidations>
  <pageMargins left="0.7" right="0.7" top="0.75" bottom="0.75" header="0.3" footer="0.3"/>
  <pageSetup orientation="portrait" horizontalDpi="200" verticalDpi="200" r:id="rId1"/>
  <ignoredErrors>
    <ignoredError sqref="B13" unlockedFormula="1"/>
    <ignoredError sqref="B23" formula="1"/>
  </ignoredErrors>
  <legacyDrawing r:id="rId2"/>
</worksheet>
</file>

<file path=xl/worksheets/sheet3.xml><?xml version="1.0" encoding="utf-8"?>
<worksheet xmlns="http://schemas.openxmlformats.org/spreadsheetml/2006/main" xmlns:r="http://schemas.openxmlformats.org/officeDocument/2006/relationships">
  <sheetPr codeName="Sheet22">
    <tabColor rgb="FFFF0000"/>
  </sheetPr>
  <dimension ref="C12:C19"/>
  <sheetViews>
    <sheetView showGridLines="0" showRowColHeaders="0" tabSelected="1" workbookViewId="0"/>
  </sheetViews>
  <sheetFormatPr defaultRowHeight="15"/>
  <cols>
    <col min="1" max="16384" width="9.140625" style="4"/>
  </cols>
  <sheetData>
    <row r="12" spans="3:3" ht="31.5">
      <c r="C12" s="3" t="s">
        <v>72</v>
      </c>
    </row>
    <row r="14" spans="3:3" ht="15.75">
      <c r="C14" s="5" t="s">
        <v>73</v>
      </c>
    </row>
    <row r="15" spans="3:3" ht="15.75">
      <c r="C15" s="5" t="s">
        <v>74</v>
      </c>
    </row>
    <row r="16" spans="3:3">
      <c r="C16" s="6"/>
    </row>
    <row r="19" spans="3:3" ht="15.75">
      <c r="C19" s="5" t="s">
        <v>75</v>
      </c>
    </row>
  </sheetData>
  <sheetProtection password="C580" sheet="1" objects="1" scenarios="1" selectLockedCells="1" selectUn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Error</vt:lpstr>
      <vt:lpstr>'Helpful Information'!_MailAutoSig</vt:lpstr>
    </vt:vector>
  </TitlesOfParts>
  <Company>USAA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German Candelaria</dc:creator>
  <cp:lastModifiedBy>German Candelaria</cp:lastModifiedBy>
  <dcterms:created xsi:type="dcterms:W3CDTF">2016-04-18T15:50:57Z</dcterms:created>
  <dcterms:modified xsi:type="dcterms:W3CDTF">2016-11-22T20:33:48Z</dcterms:modified>
</cp:coreProperties>
</file>